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 this for code\chess-engine\bench\"/>
    </mc:Choice>
  </mc:AlternateContent>
  <xr:revisionPtr revIDLastSave="0" documentId="13_ncr:1_{7B835F26-F270-40B4-A110-20819EFB73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ary" sheetId="1" r:id="rId1"/>
    <sheet name="#19" sheetId="2" r:id="rId2"/>
    <sheet name="#20" sheetId="3" r:id="rId3"/>
    <sheet name="#21" sheetId="4" r:id="rId4"/>
    <sheet name="#23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4" l="1"/>
  <c r="I6" i="4"/>
  <c r="I8" i="4" s="1"/>
  <c r="I4" i="4"/>
  <c r="I5" i="4" s="1"/>
  <c r="I8" i="3"/>
  <c r="I5" i="3"/>
  <c r="I9" i="2"/>
  <c r="I8" i="2"/>
  <c r="I7" i="2"/>
  <c r="I6" i="2"/>
</calcChain>
</file>

<file path=xl/sharedStrings.xml><?xml version="1.0" encoding="utf-8"?>
<sst xmlns="http://schemas.openxmlformats.org/spreadsheetml/2006/main" count="1287" uniqueCount="214">
  <si>
    <t>Commit</t>
  </si>
  <si>
    <t>Depth</t>
  </si>
  <si>
    <t>Accuracy</t>
  </si>
  <si>
    <t>Total Nodes</t>
  </si>
  <si>
    <t>Total Time</t>
  </si>
  <si>
    <t>Avg Nodes/Puzzle</t>
  </si>
  <si>
    <t>Notes</t>
  </si>
  <si>
    <t>#18</t>
  </si>
  <si>
    <t>quiescence search added</t>
  </si>
  <si>
    <t>371s</t>
  </si>
  <si>
    <t>depth bumped 5 -&gt; 6</t>
  </si>
  <si>
    <t>#19</t>
  </si>
  <si>
    <t>55s</t>
  </si>
  <si>
    <t>killers + history + persistent TT</t>
  </si>
  <si>
    <t>#21</t>
  </si>
  <si>
    <t>76s</t>
  </si>
  <si>
    <t>pawn-attack fix in is_square_attacked (correctness)</t>
  </si>
  <si>
    <t>#</t>
  </si>
  <si>
    <t>Result</t>
  </si>
  <si>
    <t>Engine Move</t>
  </si>
  <si>
    <t>Expected Move</t>
  </si>
  <si>
    <t>Nodes Searched</t>
  </si>
  <si>
    <t>Time (ms)</t>
  </si>
  <si>
    <t>FAIL</t>
  </si>
  <si>
    <t>g2g4</t>
  </si>
  <si>
    <t>b7b5</t>
  </si>
  <si>
    <t>b7c6</t>
  </si>
  <si>
    <t>b7c7</t>
  </si>
  <si>
    <t>SUMMARY</t>
  </si>
  <si>
    <t>f4f5</t>
  </si>
  <si>
    <t>h5h7</t>
  </si>
  <si>
    <t>Puzzles</t>
  </si>
  <si>
    <t>PASS</t>
  </si>
  <si>
    <t>e3d4</t>
  </si>
  <si>
    <t>Correct</t>
  </si>
  <si>
    <t>g1e2</t>
  </si>
  <si>
    <t>c4d5</t>
  </si>
  <si>
    <t>h6c1</t>
  </si>
  <si>
    <t>h6d2</t>
  </si>
  <si>
    <t>c8b8</t>
  </si>
  <si>
    <t>e6d7</t>
  </si>
  <si>
    <t>Total Time (ms)</t>
  </si>
  <si>
    <t>e7e2</t>
  </si>
  <si>
    <t>f4d4</t>
  </si>
  <si>
    <t>d2d8</t>
  </si>
  <si>
    <t>e4e5</t>
  </si>
  <si>
    <t>f6g7</t>
  </si>
  <si>
    <t>f8f3</t>
  </si>
  <si>
    <t>b5b6</t>
  </si>
  <si>
    <t>h3h4</t>
  </si>
  <si>
    <t>a7a8</t>
  </si>
  <si>
    <t>a7a8q</t>
  </si>
  <si>
    <t>e6e4</t>
  </si>
  <si>
    <t>e7b4</t>
  </si>
  <si>
    <t>c6e5</t>
  </si>
  <si>
    <t>c6d6</t>
  </si>
  <si>
    <t>a5c4</t>
  </si>
  <si>
    <t>g5d2</t>
  </si>
  <si>
    <t>c4d3</t>
  </si>
  <si>
    <t>d4b4</t>
  </si>
  <si>
    <t>c2b1</t>
  </si>
  <si>
    <t>c2c1</t>
  </si>
  <si>
    <t>f6d8</t>
  </si>
  <si>
    <t>f6e6</t>
  </si>
  <si>
    <t>c8e6</t>
  </si>
  <si>
    <t>g8h8</t>
  </si>
  <si>
    <t>a4a5</t>
  </si>
  <si>
    <t>a4a3</t>
  </si>
  <si>
    <t>f6e8</t>
  </si>
  <si>
    <t>c7f7</t>
  </si>
  <si>
    <t>d3c3</t>
  </si>
  <si>
    <t>f2g3</t>
  </si>
  <si>
    <t>f2d4</t>
  </si>
  <si>
    <t>e2a2</t>
  </si>
  <si>
    <t>d3d2</t>
  </si>
  <si>
    <t>e4a8</t>
  </si>
  <si>
    <t>h2h3</t>
  </si>
  <si>
    <t>d7b5</t>
  </si>
  <si>
    <t>d7h3</t>
  </si>
  <si>
    <t>g3g4</t>
  </si>
  <si>
    <t>d8c7</t>
  </si>
  <si>
    <t>f2g2</t>
  </si>
  <si>
    <t>f2e3</t>
  </si>
  <si>
    <t>d7b7</t>
  </si>
  <si>
    <t>b6c5</t>
  </si>
  <si>
    <t>f6b2</t>
  </si>
  <si>
    <t>c6b7</t>
  </si>
  <si>
    <t>g2g3</t>
  </si>
  <si>
    <t>e2g4</t>
  </si>
  <si>
    <t>c8c1</t>
  </si>
  <si>
    <t>d1d4</t>
  </si>
  <si>
    <t>g4g7</t>
  </si>
  <si>
    <t>f1b5</t>
  </si>
  <si>
    <t>d8f6</t>
  </si>
  <si>
    <t>g7d4</t>
  </si>
  <si>
    <t>a3a2</t>
  </si>
  <si>
    <t>a2a5</t>
  </si>
  <si>
    <t>c2f2</t>
  </si>
  <si>
    <t>b1c1</t>
  </si>
  <si>
    <t>h1g1</t>
  </si>
  <si>
    <t>f1f7</t>
  </si>
  <si>
    <t>d4c6</t>
  </si>
  <si>
    <t>e5e8</t>
  </si>
  <si>
    <t>g3h1</t>
  </si>
  <si>
    <t>f8f6</t>
  </si>
  <si>
    <t>d1f3</t>
  </si>
  <si>
    <t>c8c4</t>
  </si>
  <si>
    <t>d1e3</t>
  </si>
  <si>
    <t>g1f1</t>
  </si>
  <si>
    <t>e7d5</t>
  </si>
  <si>
    <t>f7f5</t>
  </si>
  <si>
    <t>f7g7</t>
  </si>
  <si>
    <t>c7d7</t>
  </si>
  <si>
    <t>b4b2</t>
  </si>
  <si>
    <t>a7a6</t>
  </si>
  <si>
    <t>g7h7</t>
  </si>
  <si>
    <t>h4c4</t>
  </si>
  <si>
    <t>d1d7</t>
  </si>
  <si>
    <t>e6e7</t>
  </si>
  <si>
    <t>e8f8</t>
  </si>
  <si>
    <t>f8f7</t>
  </si>
  <si>
    <t>f8e7</t>
  </si>
  <si>
    <t>b3b4</t>
  </si>
  <si>
    <t>h5f3</t>
  </si>
  <si>
    <t>a7f7</t>
  </si>
  <si>
    <t>e1h4</t>
  </si>
  <si>
    <t>d5a8</t>
  </si>
  <si>
    <t>a5b4</t>
  </si>
  <si>
    <t>g4d4</t>
  </si>
  <si>
    <t>e1e3</t>
  </si>
  <si>
    <t>a5c3</t>
  </si>
  <si>
    <t>a5a7</t>
  </si>
  <si>
    <t>d2e2</t>
  </si>
  <si>
    <t>d2d3</t>
  </si>
  <si>
    <t>h5h6</t>
  </si>
  <si>
    <t>h5h4</t>
  </si>
  <si>
    <t>d1a4</t>
  </si>
  <si>
    <t>e5d3</t>
  </si>
  <si>
    <t>f8b8</t>
  </si>
  <si>
    <t>d7a4</t>
  </si>
  <si>
    <t>f6e7</t>
  </si>
  <si>
    <t>c7c2</t>
  </si>
  <si>
    <t>e4g5</t>
  </si>
  <si>
    <t>e4e3</t>
  </si>
  <si>
    <t>g6h4</t>
  </si>
  <si>
    <t>f8f2</t>
  </si>
  <si>
    <t>d7a7</t>
  </si>
  <si>
    <t>d8e7</t>
  </si>
  <si>
    <t>c6c8</t>
  </si>
  <si>
    <t>g7f6</t>
  </si>
  <si>
    <t>g7h8</t>
  </si>
  <si>
    <t>g3f5</t>
  </si>
  <si>
    <t>d4g1</t>
  </si>
  <si>
    <t>a1e1</t>
  </si>
  <si>
    <t>a5a4</t>
  </si>
  <si>
    <t>d2a2</t>
  </si>
  <si>
    <t>c3b3</t>
  </si>
  <si>
    <t>e4g3</t>
  </si>
  <si>
    <t>f8c5</t>
  </si>
  <si>
    <t>d3e2</t>
  </si>
  <si>
    <t>h4f5</t>
  </si>
  <si>
    <t>d7f6</t>
  </si>
  <si>
    <t>g7g8</t>
  </si>
  <si>
    <t>e7g5</t>
  </si>
  <si>
    <t>e5e6</t>
  </si>
  <si>
    <t>f7g6</t>
  </si>
  <si>
    <t>e8f6</t>
  </si>
  <si>
    <t>b3a4</t>
  </si>
  <si>
    <t>d1d5</t>
  </si>
  <si>
    <t>d4c4</t>
  </si>
  <si>
    <t>d4e5</t>
  </si>
  <si>
    <t>d1d3</t>
  </si>
  <si>
    <t>b2d2</t>
  </si>
  <si>
    <t>f2d2</t>
  </si>
  <si>
    <t>h6g5</t>
  </si>
  <si>
    <t>e4c3</t>
  </si>
  <si>
    <t>b1c2</t>
  </si>
  <si>
    <t>f2b2</t>
  </si>
  <si>
    <t>c3g3</t>
  </si>
  <si>
    <t>g4f2</t>
  </si>
  <si>
    <t>b3d5</t>
  </si>
  <si>
    <t>b5d4</t>
  </si>
  <si>
    <t>f7c7</t>
  </si>
  <si>
    <t>f6h6</t>
  </si>
  <si>
    <t>h2g3</t>
  </si>
  <si>
    <t>e6e5</t>
  </si>
  <si>
    <t>d8g8</t>
  </si>
  <si>
    <t>e7f6</t>
  </si>
  <si>
    <t>d5f4</t>
  </si>
  <si>
    <t>g2h4</t>
  </si>
  <si>
    <t>b7b4</t>
  </si>
  <si>
    <t>e5d4</t>
  </si>
  <si>
    <t>g7f8</t>
  </si>
  <si>
    <t>c3c4</t>
  </si>
  <si>
    <t>f2f4</t>
  </si>
  <si>
    <t>d1c2</t>
  </si>
  <si>
    <t>f8g7</t>
  </si>
  <si>
    <t>f8e8</t>
  </si>
  <si>
    <t>g3f3</t>
  </si>
  <si>
    <t>b8c6</t>
  </si>
  <si>
    <t>h1h2</t>
  </si>
  <si>
    <t>Note: #21 accuracy is flat .. a correctness fix, not a strength feature. 
Some puzzles previously passed for the wrong reason (illegal king moves in the tree).</t>
  </si>
  <si>
    <t>#23</t>
  </si>
  <si>
    <t>68s</t>
  </si>
  <si>
    <t>underpromotion + castling fix, perft 18/18 (movegen complete)</t>
  </si>
  <si>
    <t>Perft Progress</t>
  </si>
  <si>
    <t>Perft Passed</t>
  </si>
  <si>
    <t>fixed pawn-attack bug in is_square_attacked</t>
  </si>
  <si>
    <t>#22</t>
  </si>
  <si>
    <t>10/18</t>
  </si>
  <si>
    <t>en passant implemented</t>
  </si>
  <si>
    <t>18/18</t>
  </si>
  <si>
    <t>castling + underpromotion movegen fully verified</t>
  </si>
  <si>
    <t>Chess Engine Benchmark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</si>
</sst>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\ ???/???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sz val="11"/>
      <name val="Arial"/>
      <charset val="1"/>
    </font>
    <font>
      <b/>
      <sz val="11"/>
      <color theme="1"/>
      <name val="Arial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sz val="11"/>
      <color rgb="FF006100"/>
      <name val="Arial"/>
      <family val="2"/>
    </font>
    <font>
      <sz val="11"/>
      <name val="Arial"/>
      <family val="2"/>
    </font>
    <font>
      <b/>
      <sz val="12"/>
      <color rgb="FF1F3864"/>
      <name val="Arial"/>
      <family val="2"/>
    </font>
    <font>
      <b/>
      <sz val="14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theme="3" tint="0.59999389629810485"/>
        <bgColor rgb="FF333333"/>
      </patternFill>
    </fill>
    <fill>
      <patternFill patternType="solid">
        <fgColor theme="3" tint="0.59999389629810485"/>
        <bgColor rgb="FFFFFFCC"/>
      </patternFill>
    </fill>
    <fill>
      <patternFill patternType="solid">
        <fgColor theme="7" tint="0.59999389629810485"/>
        <bgColor rgb="FF333333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9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G16" sqref="G16"/>
    </sheetView>
  </sheetViews>
  <sheetFormatPr defaultColWidth="8.7109375" defaultRowHeight="15" x14ac:dyDescent="0.25"/>
  <cols>
    <col min="1" max="1" width="10" customWidth="1"/>
    <col min="2" max="2" width="14.140625" bestFit="1" customWidth="1"/>
    <col min="3" max="3" width="21.5703125" customWidth="1"/>
    <col min="4" max="4" width="15" customWidth="1"/>
    <col min="5" max="5" width="12" customWidth="1"/>
    <col min="6" max="6" width="19.7109375" bestFit="1" customWidth="1"/>
    <col min="7" max="7" width="60.140625" bestFit="1" customWidth="1"/>
    <col min="8" max="8" width="74.5703125" customWidth="1"/>
  </cols>
  <sheetData>
    <row r="1" spans="1:8" ht="18" x14ac:dyDescent="0.25">
      <c r="A1" s="32" t="s">
        <v>213</v>
      </c>
      <c r="B1" s="11"/>
      <c r="C1" s="11"/>
      <c r="D1" s="11"/>
      <c r="E1" s="11"/>
      <c r="F1" s="11"/>
      <c r="G1" s="11"/>
    </row>
    <row r="2" spans="1:8" x14ac:dyDescent="0.25">
      <c r="A2" s="1"/>
    </row>
    <row r="4" spans="1:8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</row>
    <row r="5" spans="1:8" x14ac:dyDescent="0.25">
      <c r="A5" s="2" t="s">
        <v>7</v>
      </c>
      <c r="B5" s="2">
        <v>5</v>
      </c>
      <c r="C5" s="3">
        <v>0.38</v>
      </c>
      <c r="D5" s="2"/>
      <c r="E5" s="2"/>
      <c r="F5" s="2"/>
      <c r="G5" s="4" t="s">
        <v>8</v>
      </c>
    </row>
    <row r="6" spans="1:8" x14ac:dyDescent="0.25">
      <c r="A6" s="2" t="s">
        <v>7</v>
      </c>
      <c r="B6" s="2">
        <v>6</v>
      </c>
      <c r="C6" s="3">
        <v>0.42</v>
      </c>
      <c r="D6" s="5">
        <v>92288113</v>
      </c>
      <c r="E6" s="2" t="s">
        <v>9</v>
      </c>
      <c r="F6" s="5">
        <v>922881</v>
      </c>
      <c r="G6" s="4" t="s">
        <v>10</v>
      </c>
    </row>
    <row r="7" spans="1:8" x14ac:dyDescent="0.25">
      <c r="A7" s="2" t="s">
        <v>11</v>
      </c>
      <c r="B7" s="2">
        <v>6</v>
      </c>
      <c r="C7" s="3">
        <v>0.41</v>
      </c>
      <c r="D7" s="5">
        <v>17647578</v>
      </c>
      <c r="E7" s="2" t="s">
        <v>12</v>
      </c>
      <c r="F7" s="5">
        <v>176475</v>
      </c>
      <c r="G7" s="4" t="s">
        <v>13</v>
      </c>
    </row>
    <row r="8" spans="1:8" ht="24.75" x14ac:dyDescent="0.25">
      <c r="A8" s="2" t="s">
        <v>14</v>
      </c>
      <c r="B8" s="2">
        <v>6</v>
      </c>
      <c r="C8" s="3">
        <v>0.4</v>
      </c>
      <c r="D8" s="5">
        <v>16776130</v>
      </c>
      <c r="E8" s="2" t="s">
        <v>15</v>
      </c>
      <c r="F8" s="5">
        <v>167761</v>
      </c>
      <c r="G8" s="4" t="s">
        <v>16</v>
      </c>
      <c r="H8" s="10" t="s">
        <v>201</v>
      </c>
    </row>
    <row r="9" spans="1:8" x14ac:dyDescent="0.25">
      <c r="A9" s="18" t="s">
        <v>202</v>
      </c>
      <c r="B9" s="18">
        <v>6</v>
      </c>
      <c r="C9" s="19">
        <v>0.4</v>
      </c>
      <c r="D9" s="21">
        <v>16923923</v>
      </c>
      <c r="E9" s="18" t="s">
        <v>203</v>
      </c>
      <c r="F9" s="21">
        <v>169239</v>
      </c>
      <c r="G9" s="20" t="s">
        <v>204</v>
      </c>
    </row>
    <row r="12" spans="1:8" ht="15.75" x14ac:dyDescent="0.25">
      <c r="A12" s="27" t="s">
        <v>205</v>
      </c>
      <c r="B12" s="27"/>
      <c r="C12" s="27"/>
      <c r="D12" s="27"/>
      <c r="E12" s="27"/>
    </row>
    <row r="13" spans="1:8" x14ac:dyDescent="0.25">
      <c r="A13" s="23" t="s">
        <v>0</v>
      </c>
      <c r="B13" s="23" t="s">
        <v>206</v>
      </c>
      <c r="C13" s="28" t="s">
        <v>6</v>
      </c>
      <c r="D13" s="29"/>
      <c r="E13" s="30"/>
    </row>
    <row r="14" spans="1:8" x14ac:dyDescent="0.25">
      <c r="A14" s="22" t="s">
        <v>14</v>
      </c>
      <c r="B14" s="24">
        <v>0.3888888888888889</v>
      </c>
      <c r="C14" s="31" t="s">
        <v>207</v>
      </c>
      <c r="D14" s="31"/>
      <c r="E14" s="31"/>
    </row>
    <row r="15" spans="1:8" x14ac:dyDescent="0.25">
      <c r="A15" s="22" t="s">
        <v>208</v>
      </c>
      <c r="B15" s="25" t="s">
        <v>209</v>
      </c>
      <c r="C15" s="31" t="s">
        <v>210</v>
      </c>
      <c r="D15" s="31"/>
      <c r="E15" s="31"/>
    </row>
    <row r="16" spans="1:8" x14ac:dyDescent="0.25">
      <c r="A16" s="22" t="s">
        <v>202</v>
      </c>
      <c r="B16" s="26" t="s">
        <v>211</v>
      </c>
      <c r="C16" s="31" t="s">
        <v>212</v>
      </c>
      <c r="D16" s="31"/>
      <c r="E16" s="31"/>
    </row>
  </sheetData>
  <mergeCells count="6">
    <mergeCell ref="A1:G1"/>
    <mergeCell ref="C14:E14"/>
    <mergeCell ref="C15:E15"/>
    <mergeCell ref="C16:E16"/>
    <mergeCell ref="C13:E13"/>
    <mergeCell ref="A12:E12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B1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zoomScale="85" zoomScaleNormal="85" workbookViewId="0">
      <selection activeCell="K18" sqref="K18"/>
    </sheetView>
  </sheetViews>
  <sheetFormatPr defaultColWidth="8.7109375" defaultRowHeight="15" x14ac:dyDescent="0.25"/>
  <cols>
    <col min="1" max="1" width="4.140625" customWidth="1"/>
    <col min="2" max="2" width="10" customWidth="1"/>
    <col min="3" max="4" width="16" customWidth="1"/>
    <col min="5" max="5" width="18" customWidth="1"/>
    <col min="6" max="6" width="12" customWidth="1"/>
    <col min="8" max="8" width="17.5703125" customWidth="1"/>
  </cols>
  <sheetData>
    <row r="1" spans="1:9" ht="21.75" customHeight="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</row>
    <row r="2" spans="1:9" x14ac:dyDescent="0.25">
      <c r="A2" s="8">
        <v>1</v>
      </c>
      <c r="B2" s="8" t="s">
        <v>23</v>
      </c>
      <c r="C2" s="8" t="s">
        <v>24</v>
      </c>
      <c r="D2" s="8" t="s">
        <v>25</v>
      </c>
      <c r="E2" s="8">
        <v>87303</v>
      </c>
      <c r="F2" s="8">
        <v>185</v>
      </c>
    </row>
    <row r="3" spans="1:9" x14ac:dyDescent="0.25">
      <c r="A3" s="8">
        <v>2</v>
      </c>
      <c r="B3" s="8" t="s">
        <v>23</v>
      </c>
      <c r="C3" s="8" t="s">
        <v>26</v>
      </c>
      <c r="D3" s="8" t="s">
        <v>27</v>
      </c>
      <c r="E3" s="8">
        <v>158776</v>
      </c>
      <c r="F3" s="8">
        <v>244</v>
      </c>
      <c r="H3" s="12" t="s">
        <v>28</v>
      </c>
      <c r="I3" s="12"/>
    </row>
    <row r="4" spans="1:9" x14ac:dyDescent="0.25">
      <c r="A4" s="8">
        <v>3</v>
      </c>
      <c r="B4" s="8" t="s">
        <v>23</v>
      </c>
      <c r="C4" s="8" t="s">
        <v>29</v>
      </c>
      <c r="D4" s="8" t="s">
        <v>30</v>
      </c>
      <c r="E4" s="8">
        <v>167855</v>
      </c>
      <c r="F4" s="8">
        <v>346</v>
      </c>
      <c r="H4" s="9" t="s">
        <v>31</v>
      </c>
      <c r="I4" s="16">
        <v>100</v>
      </c>
    </row>
    <row r="5" spans="1:9" x14ac:dyDescent="0.25">
      <c r="A5" s="8">
        <v>4</v>
      </c>
      <c r="B5" s="8" t="s">
        <v>32</v>
      </c>
      <c r="C5" s="8" t="s">
        <v>33</v>
      </c>
      <c r="D5" s="8" t="s">
        <v>33</v>
      </c>
      <c r="E5" s="8">
        <v>37544</v>
      </c>
      <c r="F5" s="8">
        <v>85</v>
      </c>
      <c r="H5" s="15" t="s">
        <v>34</v>
      </c>
      <c r="I5" s="16">
        <v>38</v>
      </c>
    </row>
    <row r="6" spans="1:9" x14ac:dyDescent="0.25">
      <c r="A6" s="8">
        <v>5</v>
      </c>
      <c r="B6" s="8" t="s">
        <v>23</v>
      </c>
      <c r="C6" s="8" t="s">
        <v>35</v>
      </c>
      <c r="D6" s="8" t="s">
        <v>36</v>
      </c>
      <c r="E6" s="8">
        <v>12893</v>
      </c>
      <c r="F6" s="8">
        <v>34</v>
      </c>
      <c r="H6" s="15" t="s">
        <v>2</v>
      </c>
      <c r="I6" s="16">
        <f>COUNTIF(B2:B101,"PASS")/100</f>
        <v>0.38</v>
      </c>
    </row>
    <row r="7" spans="1:9" x14ac:dyDescent="0.25">
      <c r="A7" s="8">
        <v>6</v>
      </c>
      <c r="B7" s="8" t="s">
        <v>23</v>
      </c>
      <c r="C7" s="8" t="s">
        <v>37</v>
      </c>
      <c r="D7" s="8" t="s">
        <v>38</v>
      </c>
      <c r="E7" s="8">
        <v>50685</v>
      </c>
      <c r="F7" s="8">
        <v>90</v>
      </c>
      <c r="H7" s="15" t="s">
        <v>3</v>
      </c>
      <c r="I7" s="17">
        <f>SUM(E2:E101)</f>
        <v>6293672</v>
      </c>
    </row>
    <row r="8" spans="1:9" x14ac:dyDescent="0.25">
      <c r="A8" s="8">
        <v>7</v>
      </c>
      <c r="B8" s="8" t="s">
        <v>23</v>
      </c>
      <c r="C8" s="8" t="s">
        <v>39</v>
      </c>
      <c r="D8" s="8" t="s">
        <v>40</v>
      </c>
      <c r="E8" s="8">
        <v>244863</v>
      </c>
      <c r="F8" s="8">
        <v>532</v>
      </c>
      <c r="H8" s="15" t="s">
        <v>41</v>
      </c>
      <c r="I8" s="16">
        <f>SUM(F2:F101)</f>
        <v>11282</v>
      </c>
    </row>
    <row r="9" spans="1:9" x14ac:dyDescent="0.25">
      <c r="A9" s="8">
        <v>8</v>
      </c>
      <c r="B9" s="8" t="s">
        <v>32</v>
      </c>
      <c r="C9" s="8" t="s">
        <v>42</v>
      </c>
      <c r="D9" s="8" t="s">
        <v>42</v>
      </c>
      <c r="E9" s="8">
        <v>27180</v>
      </c>
      <c r="F9" s="8">
        <v>59</v>
      </c>
      <c r="H9" s="15" t="s">
        <v>5</v>
      </c>
      <c r="I9" s="16">
        <f>AVERAGE(E2:E101)</f>
        <v>62936.72</v>
      </c>
    </row>
    <row r="10" spans="1:9" x14ac:dyDescent="0.25">
      <c r="A10" s="8">
        <v>9</v>
      </c>
      <c r="B10" s="8" t="s">
        <v>23</v>
      </c>
      <c r="C10" s="8" t="s">
        <v>43</v>
      </c>
      <c r="D10" s="8" t="s">
        <v>44</v>
      </c>
      <c r="E10" s="8">
        <v>168123</v>
      </c>
      <c r="F10" s="8">
        <v>245</v>
      </c>
    </row>
    <row r="11" spans="1:9" x14ac:dyDescent="0.25">
      <c r="A11" s="8">
        <v>10</v>
      </c>
      <c r="B11" s="8" t="s">
        <v>32</v>
      </c>
      <c r="C11" s="8" t="s">
        <v>45</v>
      </c>
      <c r="D11" s="8" t="s">
        <v>45</v>
      </c>
      <c r="E11" s="8">
        <v>14321</v>
      </c>
      <c r="F11" s="8">
        <v>27</v>
      </c>
    </row>
    <row r="12" spans="1:9" x14ac:dyDescent="0.25">
      <c r="A12" s="8">
        <v>11</v>
      </c>
      <c r="B12" s="8" t="s">
        <v>32</v>
      </c>
      <c r="C12" s="8" t="s">
        <v>46</v>
      </c>
      <c r="D12" s="8" t="s">
        <v>46</v>
      </c>
      <c r="E12" s="8">
        <v>9644</v>
      </c>
      <c r="F12" s="8">
        <v>35</v>
      </c>
    </row>
    <row r="13" spans="1:9" x14ac:dyDescent="0.25">
      <c r="A13" s="8">
        <v>12</v>
      </c>
      <c r="B13" s="8" t="s">
        <v>32</v>
      </c>
      <c r="C13" s="8" t="s">
        <v>47</v>
      </c>
      <c r="D13" s="8" t="s">
        <v>47</v>
      </c>
      <c r="E13" s="8">
        <v>19709</v>
      </c>
      <c r="F13" s="8">
        <v>46</v>
      </c>
    </row>
    <row r="14" spans="1:9" x14ac:dyDescent="0.25">
      <c r="A14" s="8">
        <v>13</v>
      </c>
      <c r="B14" s="8" t="s">
        <v>23</v>
      </c>
      <c r="C14" s="8" t="s">
        <v>48</v>
      </c>
      <c r="D14" s="8" t="s">
        <v>49</v>
      </c>
      <c r="E14" s="8">
        <v>13844</v>
      </c>
      <c r="F14" s="8">
        <v>20</v>
      </c>
    </row>
    <row r="15" spans="1:9" x14ac:dyDescent="0.25">
      <c r="A15" s="8">
        <v>14</v>
      </c>
      <c r="B15" s="8" t="s">
        <v>32</v>
      </c>
      <c r="C15" s="8" t="s">
        <v>50</v>
      </c>
      <c r="D15" s="8" t="s">
        <v>51</v>
      </c>
      <c r="E15" s="8">
        <v>12855</v>
      </c>
      <c r="F15" s="8">
        <v>19</v>
      </c>
    </row>
    <row r="16" spans="1:9" x14ac:dyDescent="0.25">
      <c r="A16" s="8">
        <v>15</v>
      </c>
      <c r="B16" s="8" t="s">
        <v>32</v>
      </c>
      <c r="C16" s="8" t="s">
        <v>52</v>
      </c>
      <c r="D16" s="8" t="s">
        <v>52</v>
      </c>
      <c r="E16" s="8">
        <v>111758</v>
      </c>
      <c r="F16" s="8">
        <v>142</v>
      </c>
    </row>
    <row r="17" spans="1:6" x14ac:dyDescent="0.25">
      <c r="A17" s="8">
        <v>16</v>
      </c>
      <c r="B17" s="8" t="s">
        <v>23</v>
      </c>
      <c r="C17" s="8" t="s">
        <v>53</v>
      </c>
      <c r="D17" s="8" t="s">
        <v>54</v>
      </c>
      <c r="E17" s="8">
        <v>72481</v>
      </c>
      <c r="F17" s="8">
        <v>127</v>
      </c>
    </row>
    <row r="18" spans="1:6" x14ac:dyDescent="0.25">
      <c r="A18" s="8">
        <v>17</v>
      </c>
      <c r="B18" s="8" t="s">
        <v>23</v>
      </c>
      <c r="C18" s="8" t="s">
        <v>55</v>
      </c>
      <c r="D18" s="8" t="s">
        <v>56</v>
      </c>
      <c r="E18" s="8">
        <v>31197</v>
      </c>
      <c r="F18" s="8">
        <v>36</v>
      </c>
    </row>
    <row r="19" spans="1:6" x14ac:dyDescent="0.25">
      <c r="A19" s="8">
        <v>18</v>
      </c>
      <c r="B19" s="8" t="s">
        <v>23</v>
      </c>
      <c r="C19" s="8" t="s">
        <v>57</v>
      </c>
      <c r="D19" s="8" t="s">
        <v>58</v>
      </c>
      <c r="E19" s="8">
        <v>44826</v>
      </c>
      <c r="F19" s="8">
        <v>87</v>
      </c>
    </row>
    <row r="20" spans="1:6" x14ac:dyDescent="0.25">
      <c r="A20" s="8">
        <v>19</v>
      </c>
      <c r="B20" s="8" t="s">
        <v>32</v>
      </c>
      <c r="C20" s="8" t="s">
        <v>59</v>
      </c>
      <c r="D20" s="8" t="s">
        <v>59</v>
      </c>
      <c r="E20" s="8">
        <v>44061</v>
      </c>
      <c r="F20" s="8">
        <v>86</v>
      </c>
    </row>
    <row r="21" spans="1:6" x14ac:dyDescent="0.25">
      <c r="A21" s="8">
        <v>20</v>
      </c>
      <c r="B21" s="8" t="s">
        <v>23</v>
      </c>
      <c r="C21" s="8" t="s">
        <v>60</v>
      </c>
      <c r="D21" s="8" t="s">
        <v>61</v>
      </c>
      <c r="E21" s="8">
        <v>2797</v>
      </c>
      <c r="F21" s="8">
        <v>8</v>
      </c>
    </row>
    <row r="22" spans="1:6" x14ac:dyDescent="0.25">
      <c r="A22" s="8">
        <v>21</v>
      </c>
      <c r="B22" s="8" t="s">
        <v>23</v>
      </c>
      <c r="C22" s="8" t="s">
        <v>62</v>
      </c>
      <c r="D22" s="8" t="s">
        <v>63</v>
      </c>
      <c r="E22" s="8">
        <v>20158</v>
      </c>
      <c r="F22" s="8">
        <v>36</v>
      </c>
    </row>
    <row r="23" spans="1:6" x14ac:dyDescent="0.25">
      <c r="A23" s="8">
        <v>22</v>
      </c>
      <c r="B23" s="8" t="s">
        <v>23</v>
      </c>
      <c r="C23" s="8" t="s">
        <v>64</v>
      </c>
      <c r="D23" s="8" t="s">
        <v>65</v>
      </c>
      <c r="E23" s="8">
        <v>19592</v>
      </c>
      <c r="F23" s="8">
        <v>39</v>
      </c>
    </row>
    <row r="24" spans="1:6" x14ac:dyDescent="0.25">
      <c r="A24" s="8">
        <v>23</v>
      </c>
      <c r="B24" s="8" t="s">
        <v>23</v>
      </c>
      <c r="C24" s="8" t="s">
        <v>66</v>
      </c>
      <c r="D24" s="8" t="s">
        <v>67</v>
      </c>
      <c r="E24" s="8">
        <v>8024</v>
      </c>
      <c r="F24" s="8">
        <v>15</v>
      </c>
    </row>
    <row r="25" spans="1:6" x14ac:dyDescent="0.25">
      <c r="A25" s="8">
        <v>24</v>
      </c>
      <c r="B25" s="8" t="s">
        <v>23</v>
      </c>
      <c r="C25" s="8" t="s">
        <v>68</v>
      </c>
      <c r="D25" s="8" t="s">
        <v>69</v>
      </c>
      <c r="E25" s="8">
        <v>103851</v>
      </c>
      <c r="F25" s="8">
        <v>145</v>
      </c>
    </row>
    <row r="26" spans="1:6" x14ac:dyDescent="0.25">
      <c r="A26" s="8">
        <v>25</v>
      </c>
      <c r="B26" s="8" t="s">
        <v>32</v>
      </c>
      <c r="C26" s="8" t="s">
        <v>70</v>
      </c>
      <c r="D26" s="8" t="s">
        <v>70</v>
      </c>
      <c r="E26" s="8">
        <v>10791</v>
      </c>
      <c r="F26" s="8">
        <v>29</v>
      </c>
    </row>
    <row r="27" spans="1:6" x14ac:dyDescent="0.25">
      <c r="A27" s="8">
        <v>26</v>
      </c>
      <c r="B27" s="8" t="s">
        <v>23</v>
      </c>
      <c r="C27" s="8" t="s">
        <v>71</v>
      </c>
      <c r="D27" s="8" t="s">
        <v>72</v>
      </c>
      <c r="E27" s="8">
        <v>61457</v>
      </c>
      <c r="F27" s="8">
        <v>66</v>
      </c>
    </row>
    <row r="28" spans="1:6" x14ac:dyDescent="0.25">
      <c r="A28" s="8">
        <v>27</v>
      </c>
      <c r="B28" s="8" t="s">
        <v>23</v>
      </c>
      <c r="C28" s="8" t="s">
        <v>73</v>
      </c>
      <c r="D28" s="8" t="s">
        <v>74</v>
      </c>
      <c r="E28" s="8">
        <v>72562</v>
      </c>
      <c r="F28" s="8">
        <v>163</v>
      </c>
    </row>
    <row r="29" spans="1:6" x14ac:dyDescent="0.25">
      <c r="A29" s="8">
        <v>28</v>
      </c>
      <c r="B29" s="8" t="s">
        <v>23</v>
      </c>
      <c r="C29" s="8" t="s">
        <v>75</v>
      </c>
      <c r="D29" s="8" t="s">
        <v>76</v>
      </c>
      <c r="E29" s="8">
        <v>113486</v>
      </c>
      <c r="F29" s="8">
        <v>156</v>
      </c>
    </row>
    <row r="30" spans="1:6" x14ac:dyDescent="0.25">
      <c r="A30" s="8">
        <v>29</v>
      </c>
      <c r="B30" s="8" t="s">
        <v>23</v>
      </c>
      <c r="C30" s="8" t="s">
        <v>77</v>
      </c>
      <c r="D30" s="8" t="s">
        <v>78</v>
      </c>
      <c r="E30" s="8">
        <v>161998</v>
      </c>
      <c r="F30" s="8">
        <v>455</v>
      </c>
    </row>
    <row r="31" spans="1:6" x14ac:dyDescent="0.25">
      <c r="A31" s="8">
        <v>30</v>
      </c>
      <c r="B31" s="8" t="s">
        <v>32</v>
      </c>
      <c r="C31" s="8" t="s">
        <v>79</v>
      </c>
      <c r="D31" s="8" t="s">
        <v>79</v>
      </c>
      <c r="E31" s="8">
        <v>108988</v>
      </c>
      <c r="F31" s="8">
        <v>157</v>
      </c>
    </row>
    <row r="32" spans="1:6" x14ac:dyDescent="0.25">
      <c r="A32" s="8">
        <v>31</v>
      </c>
      <c r="B32" s="8" t="s">
        <v>32</v>
      </c>
      <c r="C32" s="8" t="s">
        <v>80</v>
      </c>
      <c r="D32" s="8" t="s">
        <v>80</v>
      </c>
      <c r="E32" s="8">
        <v>4037</v>
      </c>
      <c r="F32" s="8">
        <v>12</v>
      </c>
    </row>
    <row r="33" spans="1:6" x14ac:dyDescent="0.25">
      <c r="A33" s="8">
        <v>32</v>
      </c>
      <c r="B33" s="8" t="s">
        <v>23</v>
      </c>
      <c r="C33" s="8" t="s">
        <v>81</v>
      </c>
      <c r="D33" s="8" t="s">
        <v>82</v>
      </c>
      <c r="E33" s="8">
        <v>10292</v>
      </c>
      <c r="F33" s="8">
        <v>32</v>
      </c>
    </row>
    <row r="34" spans="1:6" x14ac:dyDescent="0.25">
      <c r="A34" s="8">
        <v>33</v>
      </c>
      <c r="B34" s="8" t="s">
        <v>23</v>
      </c>
      <c r="C34" s="8" t="s">
        <v>83</v>
      </c>
      <c r="D34" s="8" t="s">
        <v>84</v>
      </c>
      <c r="E34" s="8">
        <v>43859</v>
      </c>
      <c r="F34" s="8">
        <v>84</v>
      </c>
    </row>
    <row r="35" spans="1:6" x14ac:dyDescent="0.25">
      <c r="A35" s="8">
        <v>34</v>
      </c>
      <c r="B35" s="8" t="s">
        <v>23</v>
      </c>
      <c r="C35" s="8" t="s">
        <v>85</v>
      </c>
      <c r="D35" s="8" t="s">
        <v>86</v>
      </c>
      <c r="E35" s="8">
        <v>45869</v>
      </c>
      <c r="F35" s="8">
        <v>167</v>
      </c>
    </row>
    <row r="36" spans="1:6" x14ac:dyDescent="0.25">
      <c r="A36" s="8">
        <v>35</v>
      </c>
      <c r="B36" s="8" t="s">
        <v>23</v>
      </c>
      <c r="C36" s="8" t="s">
        <v>87</v>
      </c>
      <c r="D36" s="8" t="s">
        <v>88</v>
      </c>
      <c r="E36" s="8">
        <v>43795</v>
      </c>
      <c r="F36" s="8">
        <v>74</v>
      </c>
    </row>
    <row r="37" spans="1:6" x14ac:dyDescent="0.25">
      <c r="A37" s="8">
        <v>36</v>
      </c>
      <c r="B37" s="8" t="s">
        <v>23</v>
      </c>
      <c r="C37" s="8" t="s">
        <v>89</v>
      </c>
      <c r="D37" s="8" t="s">
        <v>90</v>
      </c>
      <c r="E37" s="8">
        <v>67879</v>
      </c>
      <c r="F37" s="8">
        <v>90</v>
      </c>
    </row>
    <row r="38" spans="1:6" x14ac:dyDescent="0.25">
      <c r="A38" s="8">
        <v>37</v>
      </c>
      <c r="B38" s="8" t="s">
        <v>23</v>
      </c>
      <c r="C38" s="8" t="s">
        <v>91</v>
      </c>
      <c r="D38" s="8" t="s">
        <v>92</v>
      </c>
      <c r="E38" s="8">
        <v>110983</v>
      </c>
      <c r="F38" s="8">
        <v>161</v>
      </c>
    </row>
    <row r="39" spans="1:6" x14ac:dyDescent="0.25">
      <c r="A39" s="8">
        <v>38</v>
      </c>
      <c r="B39" s="8" t="s">
        <v>23</v>
      </c>
      <c r="C39" s="8" t="s">
        <v>93</v>
      </c>
      <c r="D39" s="8" t="s">
        <v>94</v>
      </c>
      <c r="E39" s="8">
        <v>52316</v>
      </c>
      <c r="F39" s="8">
        <v>93</v>
      </c>
    </row>
    <row r="40" spans="1:6" x14ac:dyDescent="0.25">
      <c r="A40" s="8">
        <v>39</v>
      </c>
      <c r="B40" s="8" t="s">
        <v>32</v>
      </c>
      <c r="C40" s="8" t="s">
        <v>95</v>
      </c>
      <c r="D40" s="8" t="s">
        <v>95</v>
      </c>
      <c r="E40" s="8">
        <v>1662</v>
      </c>
      <c r="F40" s="8">
        <v>6</v>
      </c>
    </row>
    <row r="41" spans="1:6" x14ac:dyDescent="0.25">
      <c r="A41" s="8">
        <v>40</v>
      </c>
      <c r="B41" s="8" t="s">
        <v>23</v>
      </c>
      <c r="C41" s="8" t="s">
        <v>53</v>
      </c>
      <c r="D41" s="8" t="s">
        <v>74</v>
      </c>
      <c r="E41" s="8">
        <v>51510</v>
      </c>
      <c r="F41" s="8">
        <v>156</v>
      </c>
    </row>
    <row r="42" spans="1:6" x14ac:dyDescent="0.25">
      <c r="A42" s="8">
        <v>41</v>
      </c>
      <c r="B42" s="8" t="s">
        <v>23</v>
      </c>
      <c r="C42" s="8" t="s">
        <v>96</v>
      </c>
      <c r="D42" s="8" t="s">
        <v>97</v>
      </c>
      <c r="E42" s="8">
        <v>49042</v>
      </c>
      <c r="F42" s="8">
        <v>74</v>
      </c>
    </row>
    <row r="43" spans="1:6" x14ac:dyDescent="0.25">
      <c r="A43" s="8">
        <v>42</v>
      </c>
      <c r="B43" s="8" t="s">
        <v>32</v>
      </c>
      <c r="C43" s="8" t="s">
        <v>98</v>
      </c>
      <c r="D43" s="8" t="s">
        <v>98</v>
      </c>
      <c r="E43" s="8">
        <v>2741</v>
      </c>
      <c r="F43" s="8">
        <v>12</v>
      </c>
    </row>
    <row r="44" spans="1:6" x14ac:dyDescent="0.25">
      <c r="A44" s="8">
        <v>43</v>
      </c>
      <c r="B44" s="8" t="s">
        <v>23</v>
      </c>
      <c r="C44" s="8" t="s">
        <v>99</v>
      </c>
      <c r="D44" s="8" t="s">
        <v>100</v>
      </c>
      <c r="E44" s="8">
        <v>19531</v>
      </c>
      <c r="F44" s="8">
        <v>38</v>
      </c>
    </row>
    <row r="45" spans="1:6" x14ac:dyDescent="0.25">
      <c r="A45" s="8">
        <v>44</v>
      </c>
      <c r="B45" s="8" t="s">
        <v>23</v>
      </c>
      <c r="C45" s="8" t="s">
        <v>101</v>
      </c>
      <c r="D45" s="8" t="s">
        <v>102</v>
      </c>
      <c r="E45" s="8">
        <v>132954</v>
      </c>
      <c r="F45" s="8">
        <v>218</v>
      </c>
    </row>
    <row r="46" spans="1:6" x14ac:dyDescent="0.25">
      <c r="A46" s="8">
        <v>45</v>
      </c>
      <c r="B46" s="8" t="s">
        <v>32</v>
      </c>
      <c r="C46" s="8" t="s">
        <v>103</v>
      </c>
      <c r="D46" s="8" t="s">
        <v>103</v>
      </c>
      <c r="E46" s="8">
        <v>10908</v>
      </c>
      <c r="F46" s="8">
        <v>34</v>
      </c>
    </row>
    <row r="47" spans="1:6" x14ac:dyDescent="0.25">
      <c r="A47" s="8">
        <v>46</v>
      </c>
      <c r="B47" s="8" t="s">
        <v>32</v>
      </c>
      <c r="C47" s="8" t="s">
        <v>104</v>
      </c>
      <c r="D47" s="8" t="s">
        <v>104</v>
      </c>
      <c r="E47" s="8">
        <v>31926</v>
      </c>
      <c r="F47" s="8">
        <v>124</v>
      </c>
    </row>
    <row r="48" spans="1:6" x14ac:dyDescent="0.25">
      <c r="A48" s="8">
        <v>47</v>
      </c>
      <c r="B48" s="8" t="s">
        <v>23</v>
      </c>
      <c r="C48" s="8" t="s">
        <v>105</v>
      </c>
      <c r="D48" s="8" t="s">
        <v>106</v>
      </c>
      <c r="E48" s="8">
        <v>34205</v>
      </c>
      <c r="F48" s="8">
        <v>59</v>
      </c>
    </row>
    <row r="49" spans="1:6" x14ac:dyDescent="0.25">
      <c r="A49" s="8">
        <v>48</v>
      </c>
      <c r="B49" s="8" t="s">
        <v>23</v>
      </c>
      <c r="C49" s="8" t="s">
        <v>107</v>
      </c>
      <c r="D49" s="8" t="s">
        <v>108</v>
      </c>
      <c r="E49" s="8">
        <v>346394</v>
      </c>
      <c r="F49" s="8">
        <v>496</v>
      </c>
    </row>
    <row r="50" spans="1:6" x14ac:dyDescent="0.25">
      <c r="A50" s="8">
        <v>49</v>
      </c>
      <c r="B50" s="8" t="s">
        <v>32</v>
      </c>
      <c r="C50" s="8" t="s">
        <v>66</v>
      </c>
      <c r="D50" s="8" t="s">
        <v>66</v>
      </c>
      <c r="E50" s="8">
        <v>9386</v>
      </c>
      <c r="F50" s="8">
        <v>25</v>
      </c>
    </row>
    <row r="51" spans="1:6" x14ac:dyDescent="0.25">
      <c r="A51" s="8">
        <v>50</v>
      </c>
      <c r="B51" s="8" t="s">
        <v>32</v>
      </c>
      <c r="C51" s="8" t="s">
        <v>109</v>
      </c>
      <c r="D51" s="8" t="s">
        <v>109</v>
      </c>
      <c r="E51" s="8">
        <v>49842</v>
      </c>
      <c r="F51" s="8">
        <v>78</v>
      </c>
    </row>
    <row r="52" spans="1:6" x14ac:dyDescent="0.25">
      <c r="A52" s="8">
        <v>51</v>
      </c>
      <c r="B52" s="8" t="s">
        <v>23</v>
      </c>
      <c r="C52" s="8" t="s">
        <v>110</v>
      </c>
      <c r="D52" s="8" t="s">
        <v>111</v>
      </c>
      <c r="E52" s="8">
        <v>89445</v>
      </c>
      <c r="F52" s="8">
        <v>127</v>
      </c>
    </row>
    <row r="53" spans="1:6" x14ac:dyDescent="0.25">
      <c r="A53" s="8">
        <v>52</v>
      </c>
      <c r="B53" s="8" t="s">
        <v>23</v>
      </c>
      <c r="C53" s="8" t="s">
        <v>112</v>
      </c>
      <c r="D53" s="8" t="s">
        <v>113</v>
      </c>
      <c r="E53" s="8">
        <v>115566</v>
      </c>
      <c r="F53" s="8">
        <v>280</v>
      </c>
    </row>
    <row r="54" spans="1:6" x14ac:dyDescent="0.25">
      <c r="A54" s="8">
        <v>53</v>
      </c>
      <c r="B54" s="8" t="s">
        <v>23</v>
      </c>
      <c r="C54" s="8" t="s">
        <v>114</v>
      </c>
      <c r="D54" s="8" t="s">
        <v>115</v>
      </c>
      <c r="E54" s="8">
        <v>64633</v>
      </c>
      <c r="F54" s="8">
        <v>103</v>
      </c>
    </row>
    <row r="55" spans="1:6" x14ac:dyDescent="0.25">
      <c r="A55" s="8">
        <v>54</v>
      </c>
      <c r="B55" s="8" t="s">
        <v>23</v>
      </c>
      <c r="C55" s="8" t="s">
        <v>116</v>
      </c>
      <c r="D55" s="8" t="s">
        <v>117</v>
      </c>
      <c r="E55" s="8">
        <v>294684</v>
      </c>
      <c r="F55" s="8">
        <v>354</v>
      </c>
    </row>
    <row r="56" spans="1:6" x14ac:dyDescent="0.25">
      <c r="A56" s="8">
        <v>55</v>
      </c>
      <c r="B56" s="8" t="s">
        <v>32</v>
      </c>
      <c r="C56" s="8" t="s">
        <v>118</v>
      </c>
      <c r="D56" s="8" t="s">
        <v>118</v>
      </c>
      <c r="E56" s="8">
        <v>30231</v>
      </c>
      <c r="F56" s="8">
        <v>52</v>
      </c>
    </row>
    <row r="57" spans="1:6" x14ac:dyDescent="0.25">
      <c r="A57" s="8">
        <v>56</v>
      </c>
      <c r="B57" s="8" t="s">
        <v>32</v>
      </c>
      <c r="C57" s="8" t="s">
        <v>119</v>
      </c>
      <c r="D57" s="8" t="s">
        <v>119</v>
      </c>
      <c r="E57" s="8">
        <v>14082</v>
      </c>
      <c r="F57" s="8">
        <v>42</v>
      </c>
    </row>
    <row r="58" spans="1:6" x14ac:dyDescent="0.25">
      <c r="A58" s="8">
        <v>57</v>
      </c>
      <c r="B58" s="8" t="s">
        <v>32</v>
      </c>
      <c r="C58" s="8" t="s">
        <v>120</v>
      </c>
      <c r="D58" s="8" t="s">
        <v>120</v>
      </c>
      <c r="E58" s="8">
        <v>22760</v>
      </c>
      <c r="F58" s="8">
        <v>63</v>
      </c>
    </row>
    <row r="59" spans="1:6" x14ac:dyDescent="0.25">
      <c r="A59" s="8">
        <v>58</v>
      </c>
      <c r="B59" s="8" t="s">
        <v>32</v>
      </c>
      <c r="C59" s="8" t="s">
        <v>121</v>
      </c>
      <c r="D59" s="8" t="s">
        <v>121</v>
      </c>
      <c r="E59" s="8">
        <v>6335</v>
      </c>
      <c r="F59" s="8">
        <v>39</v>
      </c>
    </row>
    <row r="60" spans="1:6" x14ac:dyDescent="0.25">
      <c r="A60" s="8">
        <v>59</v>
      </c>
      <c r="B60" s="8" t="s">
        <v>23</v>
      </c>
      <c r="C60" s="8" t="s">
        <v>122</v>
      </c>
      <c r="D60" s="8" t="s">
        <v>114</v>
      </c>
      <c r="E60" s="8">
        <v>71886</v>
      </c>
      <c r="F60" s="8">
        <v>92</v>
      </c>
    </row>
    <row r="61" spans="1:6" x14ac:dyDescent="0.25">
      <c r="A61" s="8">
        <v>60</v>
      </c>
      <c r="B61" s="8" t="s">
        <v>23</v>
      </c>
      <c r="C61" s="8" t="s">
        <v>123</v>
      </c>
      <c r="D61" s="8" t="s">
        <v>124</v>
      </c>
      <c r="E61" s="8">
        <v>56340</v>
      </c>
      <c r="F61" s="8">
        <v>72</v>
      </c>
    </row>
    <row r="62" spans="1:6" x14ac:dyDescent="0.25">
      <c r="A62" s="8">
        <v>61</v>
      </c>
      <c r="B62" s="8" t="s">
        <v>23</v>
      </c>
      <c r="C62" s="8" t="s">
        <v>125</v>
      </c>
      <c r="D62" s="8" t="s">
        <v>95</v>
      </c>
      <c r="E62" s="8">
        <v>29473</v>
      </c>
      <c r="F62" s="8">
        <v>58</v>
      </c>
    </row>
    <row r="63" spans="1:6" x14ac:dyDescent="0.25">
      <c r="A63" s="8">
        <v>62</v>
      </c>
      <c r="B63" s="8" t="s">
        <v>23</v>
      </c>
      <c r="C63" s="8" t="s">
        <v>126</v>
      </c>
      <c r="D63" s="8" t="s">
        <v>127</v>
      </c>
      <c r="E63" s="8">
        <v>19649</v>
      </c>
      <c r="F63" s="8">
        <v>48</v>
      </c>
    </row>
    <row r="64" spans="1:6" x14ac:dyDescent="0.25">
      <c r="A64" s="8">
        <v>63</v>
      </c>
      <c r="B64" s="8" t="s">
        <v>23</v>
      </c>
      <c r="C64" s="8" t="s">
        <v>128</v>
      </c>
      <c r="D64" s="8" t="s">
        <v>129</v>
      </c>
      <c r="E64" s="8">
        <v>111674</v>
      </c>
      <c r="F64" s="8">
        <v>148</v>
      </c>
    </row>
    <row r="65" spans="1:6" x14ac:dyDescent="0.25">
      <c r="A65" s="8">
        <v>64</v>
      </c>
      <c r="B65" s="8" t="s">
        <v>23</v>
      </c>
      <c r="C65" s="8" t="s">
        <v>130</v>
      </c>
      <c r="D65" s="8" t="s">
        <v>131</v>
      </c>
      <c r="E65" s="8">
        <v>188302</v>
      </c>
      <c r="F65" s="8">
        <v>355</v>
      </c>
    </row>
    <row r="66" spans="1:6" x14ac:dyDescent="0.25">
      <c r="A66" s="8">
        <v>65</v>
      </c>
      <c r="B66" s="8" t="s">
        <v>23</v>
      </c>
      <c r="C66" s="8" t="s">
        <v>132</v>
      </c>
      <c r="D66" s="8" t="s">
        <v>133</v>
      </c>
      <c r="E66" s="8">
        <v>107711</v>
      </c>
      <c r="F66" s="8">
        <v>152</v>
      </c>
    </row>
    <row r="67" spans="1:6" x14ac:dyDescent="0.25">
      <c r="A67" s="8">
        <v>66</v>
      </c>
      <c r="B67" s="8" t="s">
        <v>32</v>
      </c>
      <c r="C67" s="8" t="s">
        <v>99</v>
      </c>
      <c r="D67" s="8" t="s">
        <v>99</v>
      </c>
      <c r="E67" s="8">
        <v>6310</v>
      </c>
      <c r="F67" s="8">
        <v>17</v>
      </c>
    </row>
    <row r="68" spans="1:6" x14ac:dyDescent="0.25">
      <c r="A68" s="8">
        <v>67</v>
      </c>
      <c r="B68" s="8" t="s">
        <v>23</v>
      </c>
      <c r="C68" s="8" t="s">
        <v>134</v>
      </c>
      <c r="D68" s="8" t="s">
        <v>135</v>
      </c>
      <c r="E68" s="8">
        <v>32298</v>
      </c>
      <c r="F68" s="8">
        <v>82</v>
      </c>
    </row>
    <row r="69" spans="1:6" x14ac:dyDescent="0.25">
      <c r="A69" s="8">
        <v>68</v>
      </c>
      <c r="B69" s="8" t="s">
        <v>23</v>
      </c>
      <c r="C69" s="8" t="s">
        <v>136</v>
      </c>
      <c r="D69" s="8" t="s">
        <v>137</v>
      </c>
      <c r="E69" s="8">
        <v>93313</v>
      </c>
      <c r="F69" s="8">
        <v>171</v>
      </c>
    </row>
    <row r="70" spans="1:6" x14ac:dyDescent="0.25">
      <c r="A70" s="8">
        <v>69</v>
      </c>
      <c r="B70" s="8" t="s">
        <v>23</v>
      </c>
      <c r="C70" s="8" t="s">
        <v>138</v>
      </c>
      <c r="D70" s="8" t="s">
        <v>139</v>
      </c>
      <c r="E70" s="8">
        <v>103590</v>
      </c>
      <c r="F70" s="8">
        <v>237</v>
      </c>
    </row>
    <row r="71" spans="1:6" x14ac:dyDescent="0.25">
      <c r="A71" s="8">
        <v>70</v>
      </c>
      <c r="B71" s="8" t="s">
        <v>23</v>
      </c>
      <c r="C71" s="8" t="s">
        <v>140</v>
      </c>
      <c r="D71" s="8" t="s">
        <v>141</v>
      </c>
      <c r="E71" s="8">
        <v>83616</v>
      </c>
      <c r="F71" s="8">
        <v>242</v>
      </c>
    </row>
    <row r="72" spans="1:6" x14ac:dyDescent="0.25">
      <c r="A72" s="8">
        <v>71</v>
      </c>
      <c r="B72" s="8" t="s">
        <v>32</v>
      </c>
      <c r="C72" s="8" t="s">
        <v>142</v>
      </c>
      <c r="D72" s="8" t="s">
        <v>142</v>
      </c>
      <c r="E72" s="8">
        <v>31757</v>
      </c>
      <c r="F72" s="8">
        <v>56</v>
      </c>
    </row>
    <row r="73" spans="1:6" x14ac:dyDescent="0.25">
      <c r="A73" s="8">
        <v>72</v>
      </c>
      <c r="B73" s="8" t="s">
        <v>23</v>
      </c>
      <c r="C73" s="8" t="s">
        <v>143</v>
      </c>
      <c r="D73" s="8" t="s">
        <v>144</v>
      </c>
      <c r="E73" s="8">
        <v>30795</v>
      </c>
      <c r="F73" s="8">
        <v>39</v>
      </c>
    </row>
    <row r="74" spans="1:6" x14ac:dyDescent="0.25">
      <c r="A74" s="8">
        <v>73</v>
      </c>
      <c r="B74" s="8" t="s">
        <v>23</v>
      </c>
      <c r="C74" s="8" t="s">
        <v>120</v>
      </c>
      <c r="D74" s="8" t="s">
        <v>145</v>
      </c>
      <c r="E74" s="8">
        <v>81288</v>
      </c>
      <c r="F74" s="8">
        <v>160</v>
      </c>
    </row>
    <row r="75" spans="1:6" x14ac:dyDescent="0.25">
      <c r="A75" s="8">
        <v>74</v>
      </c>
      <c r="B75" s="8" t="s">
        <v>32</v>
      </c>
      <c r="C75" s="8" t="s">
        <v>146</v>
      </c>
      <c r="D75" s="8" t="s">
        <v>146</v>
      </c>
      <c r="E75" s="8">
        <v>6296</v>
      </c>
      <c r="F75" s="8">
        <v>18</v>
      </c>
    </row>
    <row r="76" spans="1:6" x14ac:dyDescent="0.25">
      <c r="A76" s="8">
        <v>75</v>
      </c>
      <c r="B76" s="8" t="s">
        <v>32</v>
      </c>
      <c r="C76" s="8" t="s">
        <v>127</v>
      </c>
      <c r="D76" s="8" t="s">
        <v>127</v>
      </c>
      <c r="E76" s="8">
        <v>66360</v>
      </c>
      <c r="F76" s="8">
        <v>146</v>
      </c>
    </row>
    <row r="77" spans="1:6" x14ac:dyDescent="0.25">
      <c r="A77" s="8">
        <v>76</v>
      </c>
      <c r="B77" s="8" t="s">
        <v>23</v>
      </c>
      <c r="C77" s="8" t="s">
        <v>147</v>
      </c>
      <c r="D77" s="8" t="s">
        <v>148</v>
      </c>
      <c r="E77" s="8">
        <v>7302</v>
      </c>
      <c r="F77" s="8">
        <v>37</v>
      </c>
    </row>
    <row r="78" spans="1:6" x14ac:dyDescent="0.25">
      <c r="A78" s="8">
        <v>77</v>
      </c>
      <c r="B78" s="8" t="s">
        <v>23</v>
      </c>
      <c r="C78" s="8" t="s">
        <v>149</v>
      </c>
      <c r="D78" s="8" t="s">
        <v>150</v>
      </c>
      <c r="E78" s="8">
        <v>18968</v>
      </c>
      <c r="F78" s="8">
        <v>42</v>
      </c>
    </row>
    <row r="79" spans="1:6" x14ac:dyDescent="0.25">
      <c r="A79" s="8">
        <v>78</v>
      </c>
      <c r="B79" s="8" t="s">
        <v>32</v>
      </c>
      <c r="C79" s="8" t="s">
        <v>151</v>
      </c>
      <c r="D79" s="8" t="s">
        <v>151</v>
      </c>
      <c r="E79" s="8">
        <v>30577</v>
      </c>
      <c r="F79" s="8">
        <v>43</v>
      </c>
    </row>
    <row r="80" spans="1:6" x14ac:dyDescent="0.25">
      <c r="A80" s="8">
        <v>79</v>
      </c>
      <c r="B80" s="8" t="s">
        <v>23</v>
      </c>
      <c r="C80" s="8" t="s">
        <v>152</v>
      </c>
      <c r="D80" s="8" t="s">
        <v>153</v>
      </c>
      <c r="E80" s="8">
        <v>57056</v>
      </c>
      <c r="F80" s="8">
        <v>84</v>
      </c>
    </row>
    <row r="81" spans="1:6" x14ac:dyDescent="0.25">
      <c r="A81" s="8">
        <v>80</v>
      </c>
      <c r="B81" s="8" t="s">
        <v>32</v>
      </c>
      <c r="C81" s="8" t="s">
        <v>154</v>
      </c>
      <c r="D81" s="8" t="s">
        <v>154</v>
      </c>
      <c r="E81" s="8">
        <v>17399</v>
      </c>
      <c r="F81" s="8">
        <v>37</v>
      </c>
    </row>
    <row r="82" spans="1:6" x14ac:dyDescent="0.25">
      <c r="A82" s="8">
        <v>81</v>
      </c>
      <c r="B82" s="8" t="s">
        <v>23</v>
      </c>
      <c r="C82" s="8" t="s">
        <v>155</v>
      </c>
      <c r="D82" s="8" t="s">
        <v>156</v>
      </c>
      <c r="E82" s="8">
        <v>244965</v>
      </c>
      <c r="F82" s="8">
        <v>306</v>
      </c>
    </row>
    <row r="83" spans="1:6" x14ac:dyDescent="0.25">
      <c r="A83" s="8">
        <v>82</v>
      </c>
      <c r="B83" s="8" t="s">
        <v>32</v>
      </c>
      <c r="C83" s="8" t="s">
        <v>157</v>
      </c>
      <c r="D83" s="8" t="s">
        <v>157</v>
      </c>
      <c r="E83" s="8">
        <v>311864</v>
      </c>
      <c r="F83" s="8">
        <v>638</v>
      </c>
    </row>
    <row r="84" spans="1:6" x14ac:dyDescent="0.25">
      <c r="A84" s="8">
        <v>83</v>
      </c>
      <c r="B84" s="8" t="s">
        <v>23</v>
      </c>
      <c r="C84" s="8" t="s">
        <v>158</v>
      </c>
      <c r="D84" s="8" t="s">
        <v>159</v>
      </c>
      <c r="E84" s="8">
        <v>12793</v>
      </c>
      <c r="F84" s="8">
        <v>32</v>
      </c>
    </row>
    <row r="85" spans="1:6" x14ac:dyDescent="0.25">
      <c r="A85" s="8">
        <v>84</v>
      </c>
      <c r="B85" s="8" t="s">
        <v>23</v>
      </c>
      <c r="C85" s="8" t="s">
        <v>160</v>
      </c>
      <c r="D85" s="8" t="s">
        <v>161</v>
      </c>
      <c r="E85" s="8">
        <v>52132</v>
      </c>
      <c r="F85" s="8">
        <v>64</v>
      </c>
    </row>
    <row r="86" spans="1:6" x14ac:dyDescent="0.25">
      <c r="A86" s="8">
        <v>85</v>
      </c>
      <c r="B86" s="8" t="s">
        <v>32</v>
      </c>
      <c r="C86" s="8" t="s">
        <v>162</v>
      </c>
      <c r="D86" s="8" t="s">
        <v>162</v>
      </c>
      <c r="E86" s="8">
        <v>10482</v>
      </c>
      <c r="F86" s="8">
        <v>52</v>
      </c>
    </row>
    <row r="87" spans="1:6" x14ac:dyDescent="0.25">
      <c r="A87" s="8">
        <v>86</v>
      </c>
      <c r="B87" s="8" t="s">
        <v>32</v>
      </c>
      <c r="C87" s="8" t="s">
        <v>163</v>
      </c>
      <c r="D87" s="8" t="s">
        <v>163</v>
      </c>
      <c r="E87" s="8">
        <v>50223</v>
      </c>
      <c r="F87" s="8">
        <v>77</v>
      </c>
    </row>
    <row r="88" spans="1:6" x14ac:dyDescent="0.25">
      <c r="A88" s="8">
        <v>87</v>
      </c>
      <c r="B88" s="8" t="s">
        <v>32</v>
      </c>
      <c r="C88" s="8" t="s">
        <v>164</v>
      </c>
      <c r="D88" s="8" t="s">
        <v>164</v>
      </c>
      <c r="E88" s="8">
        <v>11007</v>
      </c>
      <c r="F88" s="8">
        <v>22</v>
      </c>
    </row>
    <row r="89" spans="1:6" x14ac:dyDescent="0.25">
      <c r="A89" s="8">
        <v>88</v>
      </c>
      <c r="B89" s="8" t="s">
        <v>32</v>
      </c>
      <c r="C89" s="8" t="s">
        <v>165</v>
      </c>
      <c r="D89" s="8" t="s">
        <v>165</v>
      </c>
      <c r="E89" s="8">
        <v>3036</v>
      </c>
      <c r="F89" s="8">
        <v>15</v>
      </c>
    </row>
    <row r="90" spans="1:6" x14ac:dyDescent="0.25">
      <c r="A90" s="8">
        <v>89</v>
      </c>
      <c r="B90" s="8" t="s">
        <v>32</v>
      </c>
      <c r="C90" s="8" t="s">
        <v>166</v>
      </c>
      <c r="D90" s="8" t="s">
        <v>166</v>
      </c>
      <c r="E90" s="8">
        <v>40271</v>
      </c>
      <c r="F90" s="8">
        <v>100</v>
      </c>
    </row>
    <row r="91" spans="1:6" x14ac:dyDescent="0.25">
      <c r="A91" s="8">
        <v>90</v>
      </c>
      <c r="B91" s="8" t="s">
        <v>23</v>
      </c>
      <c r="C91" s="8" t="s">
        <v>167</v>
      </c>
      <c r="D91" s="8" t="s">
        <v>168</v>
      </c>
      <c r="E91" s="8">
        <v>61019</v>
      </c>
      <c r="F91" s="8">
        <v>58</v>
      </c>
    </row>
    <row r="92" spans="1:6" x14ac:dyDescent="0.25">
      <c r="A92" s="8">
        <v>91</v>
      </c>
      <c r="B92" s="8" t="s">
        <v>23</v>
      </c>
      <c r="C92" s="8" t="s">
        <v>169</v>
      </c>
      <c r="D92" s="8" t="s">
        <v>170</v>
      </c>
      <c r="E92" s="8">
        <v>38480</v>
      </c>
      <c r="F92" s="8">
        <v>83</v>
      </c>
    </row>
    <row r="93" spans="1:6" x14ac:dyDescent="0.25">
      <c r="A93" s="8">
        <v>92</v>
      </c>
      <c r="B93" s="8" t="s">
        <v>32</v>
      </c>
      <c r="C93" s="8" t="s">
        <v>171</v>
      </c>
      <c r="D93" s="8" t="s">
        <v>171</v>
      </c>
      <c r="E93" s="8">
        <v>15504</v>
      </c>
      <c r="F93" s="8">
        <v>32</v>
      </c>
    </row>
    <row r="94" spans="1:6" x14ac:dyDescent="0.25">
      <c r="A94" s="8">
        <v>93</v>
      </c>
      <c r="B94" s="8" t="s">
        <v>23</v>
      </c>
      <c r="C94" s="8" t="s">
        <v>172</v>
      </c>
      <c r="D94" s="8" t="s">
        <v>173</v>
      </c>
      <c r="E94" s="8">
        <v>8140</v>
      </c>
      <c r="F94" s="8">
        <v>28</v>
      </c>
    </row>
    <row r="95" spans="1:6" x14ac:dyDescent="0.25">
      <c r="A95" s="8">
        <v>94</v>
      </c>
      <c r="B95" s="8" t="s">
        <v>23</v>
      </c>
      <c r="C95" s="8" t="s">
        <v>174</v>
      </c>
      <c r="D95" s="8" t="s">
        <v>175</v>
      </c>
      <c r="E95" s="8">
        <v>8954</v>
      </c>
      <c r="F95" s="8">
        <v>16</v>
      </c>
    </row>
    <row r="96" spans="1:6" x14ac:dyDescent="0.25">
      <c r="A96" s="8">
        <v>95</v>
      </c>
      <c r="B96" s="8" t="s">
        <v>32</v>
      </c>
      <c r="C96" s="8" t="s">
        <v>176</v>
      </c>
      <c r="D96" s="8" t="s">
        <v>176</v>
      </c>
      <c r="E96" s="8">
        <v>18988</v>
      </c>
      <c r="F96" s="8">
        <v>40</v>
      </c>
    </row>
    <row r="97" spans="1:6" x14ac:dyDescent="0.25">
      <c r="A97" s="8">
        <v>96</v>
      </c>
      <c r="B97" s="8" t="s">
        <v>32</v>
      </c>
      <c r="C97" s="8" t="s">
        <v>177</v>
      </c>
      <c r="D97" s="8" t="s">
        <v>177</v>
      </c>
      <c r="E97" s="8">
        <v>62372</v>
      </c>
      <c r="F97" s="8">
        <v>86</v>
      </c>
    </row>
    <row r="98" spans="1:6" x14ac:dyDescent="0.25">
      <c r="A98" s="8">
        <v>97</v>
      </c>
      <c r="B98" s="8" t="s">
        <v>23</v>
      </c>
      <c r="C98" s="8" t="s">
        <v>178</v>
      </c>
      <c r="D98" s="8" t="s">
        <v>179</v>
      </c>
      <c r="E98" s="8">
        <v>128995</v>
      </c>
      <c r="F98" s="8">
        <v>182</v>
      </c>
    </row>
    <row r="99" spans="1:6" x14ac:dyDescent="0.25">
      <c r="A99" s="8">
        <v>98</v>
      </c>
      <c r="B99" s="8" t="s">
        <v>32</v>
      </c>
      <c r="C99" s="8" t="s">
        <v>180</v>
      </c>
      <c r="D99" s="8" t="s">
        <v>180</v>
      </c>
      <c r="E99" s="8">
        <v>144999</v>
      </c>
      <c r="F99" s="8">
        <v>203</v>
      </c>
    </row>
    <row r="100" spans="1:6" x14ac:dyDescent="0.25">
      <c r="A100" s="8">
        <v>99</v>
      </c>
      <c r="B100" s="8" t="s">
        <v>32</v>
      </c>
      <c r="C100" s="8" t="s">
        <v>159</v>
      </c>
      <c r="D100" s="8" t="s">
        <v>159</v>
      </c>
      <c r="E100" s="8">
        <v>16930</v>
      </c>
      <c r="F100" s="8">
        <v>33</v>
      </c>
    </row>
    <row r="101" spans="1:6" x14ac:dyDescent="0.25">
      <c r="A101" s="8">
        <v>100</v>
      </c>
      <c r="B101" s="8" t="s">
        <v>23</v>
      </c>
      <c r="C101" s="8" t="s">
        <v>162</v>
      </c>
      <c r="D101" s="8" t="s">
        <v>150</v>
      </c>
      <c r="E101" s="8">
        <v>30069</v>
      </c>
      <c r="F101" s="8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zoomScaleNormal="100" workbookViewId="0">
      <selection activeCell="H2" sqref="H2:I8"/>
    </sheetView>
  </sheetViews>
  <sheetFormatPr defaultColWidth="8.7109375" defaultRowHeight="15" x14ac:dyDescent="0.25"/>
  <cols>
    <col min="2" max="2" width="7.5703125" customWidth="1"/>
    <col min="3" max="3" width="15.42578125" customWidth="1"/>
    <col min="4" max="4" width="17" customWidth="1"/>
    <col min="5" max="5" width="18.140625" customWidth="1"/>
    <col min="6" max="6" width="10.85546875" customWidth="1"/>
    <col min="8" max="8" width="17.5703125" customWidth="1"/>
    <col min="9" max="9" width="14.85546875" bestFit="1" customWidth="1"/>
  </cols>
  <sheetData>
    <row r="1" spans="1:1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12"/>
      <c r="H1" s="12"/>
      <c r="I1" s="12"/>
      <c r="J1" s="12"/>
      <c r="K1" s="12"/>
    </row>
    <row r="2" spans="1:11" x14ac:dyDescent="0.25">
      <c r="A2" s="13">
        <v>1</v>
      </c>
      <c r="B2" s="13" t="s">
        <v>23</v>
      </c>
      <c r="C2" s="13" t="s">
        <v>24</v>
      </c>
      <c r="D2" s="13" t="s">
        <v>25</v>
      </c>
      <c r="E2" s="13">
        <v>41152</v>
      </c>
      <c r="F2" s="13">
        <v>153</v>
      </c>
      <c r="G2" s="12"/>
      <c r="H2" s="12" t="s">
        <v>28</v>
      </c>
      <c r="I2" s="12"/>
      <c r="J2" s="12"/>
      <c r="K2" s="12"/>
    </row>
    <row r="3" spans="1:11" x14ac:dyDescent="0.25">
      <c r="A3" s="13">
        <v>2</v>
      </c>
      <c r="B3" s="13" t="s">
        <v>32</v>
      </c>
      <c r="C3" s="13" t="s">
        <v>27</v>
      </c>
      <c r="D3" s="13" t="s">
        <v>27</v>
      </c>
      <c r="E3" s="13">
        <v>196620</v>
      </c>
      <c r="F3" s="13">
        <v>754</v>
      </c>
      <c r="G3" s="12"/>
      <c r="H3" s="9" t="s">
        <v>31</v>
      </c>
      <c r="I3" s="16">
        <v>100</v>
      </c>
      <c r="J3" s="12"/>
      <c r="K3" s="12"/>
    </row>
    <row r="4" spans="1:11" x14ac:dyDescent="0.25">
      <c r="A4" s="13">
        <v>3</v>
      </c>
      <c r="B4" s="13" t="s">
        <v>23</v>
      </c>
      <c r="C4" s="13" t="s">
        <v>123</v>
      </c>
      <c r="D4" s="13" t="s">
        <v>30</v>
      </c>
      <c r="E4" s="13">
        <v>347205</v>
      </c>
      <c r="F4" s="13">
        <v>1397</v>
      </c>
      <c r="G4" s="12"/>
      <c r="H4" s="15" t="s">
        <v>34</v>
      </c>
      <c r="I4" s="16">
        <v>41</v>
      </c>
      <c r="J4" s="12"/>
      <c r="K4" s="12"/>
    </row>
    <row r="5" spans="1:11" x14ac:dyDescent="0.25">
      <c r="A5" s="13">
        <v>4</v>
      </c>
      <c r="B5" s="13" t="s">
        <v>32</v>
      </c>
      <c r="C5" s="13" t="s">
        <v>33</v>
      </c>
      <c r="D5" s="13" t="s">
        <v>33</v>
      </c>
      <c r="E5" s="13">
        <v>483400</v>
      </c>
      <c r="F5" s="13">
        <v>1039</v>
      </c>
      <c r="G5" s="12"/>
      <c r="H5" s="15" t="s">
        <v>2</v>
      </c>
      <c r="I5" s="16">
        <f>COUNTIF(B1:B100,"PASS")/100</f>
        <v>0.41</v>
      </c>
      <c r="J5" s="12"/>
      <c r="K5" s="12"/>
    </row>
    <row r="6" spans="1:11" x14ac:dyDescent="0.25">
      <c r="A6" s="13">
        <v>5</v>
      </c>
      <c r="B6" s="13" t="s">
        <v>23</v>
      </c>
      <c r="C6" s="13" t="s">
        <v>132</v>
      </c>
      <c r="D6" s="13" t="s">
        <v>36</v>
      </c>
      <c r="E6" s="13">
        <v>306564</v>
      </c>
      <c r="F6" s="13">
        <v>384</v>
      </c>
      <c r="G6" s="12"/>
      <c r="H6" s="15" t="s">
        <v>3</v>
      </c>
      <c r="I6" s="17">
        <v>1764757800</v>
      </c>
      <c r="J6" s="12"/>
      <c r="K6" s="12"/>
    </row>
    <row r="7" spans="1:11" x14ac:dyDescent="0.25">
      <c r="A7" s="13">
        <v>6</v>
      </c>
      <c r="B7" s="13" t="s">
        <v>23</v>
      </c>
      <c r="C7" s="13" t="s">
        <v>181</v>
      </c>
      <c r="D7" s="13" t="s">
        <v>38</v>
      </c>
      <c r="E7" s="13">
        <v>52154</v>
      </c>
      <c r="F7" s="13">
        <v>227</v>
      </c>
      <c r="G7" s="12"/>
      <c r="H7" s="15" t="s">
        <v>41</v>
      </c>
      <c r="I7" s="16">
        <v>54917</v>
      </c>
      <c r="J7" s="12"/>
      <c r="K7" s="12"/>
    </row>
    <row r="8" spans="1:11" x14ac:dyDescent="0.25">
      <c r="A8" s="13">
        <v>7</v>
      </c>
      <c r="B8" s="13" t="s">
        <v>23</v>
      </c>
      <c r="C8" s="13" t="s">
        <v>39</v>
      </c>
      <c r="D8" s="13" t="s">
        <v>40</v>
      </c>
      <c r="E8" s="13">
        <v>568240</v>
      </c>
      <c r="F8" s="13">
        <v>2149</v>
      </c>
      <c r="G8" s="12"/>
      <c r="H8" s="15" t="s">
        <v>5</v>
      </c>
      <c r="I8" s="16">
        <f>AVERAGE(E1:E100)</f>
        <v>177966.05050505052</v>
      </c>
      <c r="J8" s="12"/>
      <c r="K8" s="12"/>
    </row>
    <row r="9" spans="1:11" x14ac:dyDescent="0.25">
      <c r="A9" s="13">
        <v>8</v>
      </c>
      <c r="B9" s="13" t="s">
        <v>32</v>
      </c>
      <c r="C9" s="13" t="s">
        <v>42</v>
      </c>
      <c r="D9" s="13" t="s">
        <v>42</v>
      </c>
      <c r="E9" s="13">
        <v>242688</v>
      </c>
      <c r="F9" s="13">
        <v>682</v>
      </c>
      <c r="G9" s="12"/>
      <c r="H9" s="15"/>
      <c r="I9" s="14"/>
      <c r="J9" s="12"/>
      <c r="K9" s="12"/>
    </row>
    <row r="10" spans="1:11" x14ac:dyDescent="0.25">
      <c r="A10" s="13">
        <v>9</v>
      </c>
      <c r="B10" s="13" t="s">
        <v>23</v>
      </c>
      <c r="C10" s="13" t="s">
        <v>43</v>
      </c>
      <c r="D10" s="13" t="s">
        <v>44</v>
      </c>
      <c r="E10" s="13">
        <v>160083</v>
      </c>
      <c r="F10" s="13">
        <v>725</v>
      </c>
      <c r="G10" s="12"/>
      <c r="H10" s="12"/>
      <c r="I10" s="12"/>
      <c r="J10" s="12"/>
      <c r="K10" s="12"/>
    </row>
    <row r="11" spans="1:11" x14ac:dyDescent="0.25">
      <c r="A11" s="13">
        <v>10</v>
      </c>
      <c r="B11" s="13" t="s">
        <v>32</v>
      </c>
      <c r="C11" s="13" t="s">
        <v>45</v>
      </c>
      <c r="D11" s="13" t="s">
        <v>45</v>
      </c>
      <c r="E11" s="13">
        <v>21453</v>
      </c>
      <c r="F11" s="13">
        <v>68</v>
      </c>
      <c r="G11" s="12"/>
      <c r="H11" s="12"/>
      <c r="I11" s="12"/>
      <c r="J11" s="12"/>
      <c r="K11" s="12"/>
    </row>
    <row r="12" spans="1:11" x14ac:dyDescent="0.25">
      <c r="A12" s="13">
        <v>11</v>
      </c>
      <c r="B12" s="13" t="s">
        <v>32</v>
      </c>
      <c r="C12" s="13" t="s">
        <v>46</v>
      </c>
      <c r="D12" s="13" t="s">
        <v>46</v>
      </c>
      <c r="E12" s="13">
        <v>52433</v>
      </c>
      <c r="F12" s="13">
        <v>114</v>
      </c>
      <c r="G12" s="12"/>
      <c r="H12" s="12"/>
      <c r="I12" s="12"/>
      <c r="J12" s="12"/>
      <c r="K12" s="12"/>
    </row>
    <row r="13" spans="1:11" x14ac:dyDescent="0.25">
      <c r="A13" s="13">
        <v>12</v>
      </c>
      <c r="B13" s="13" t="s">
        <v>32</v>
      </c>
      <c r="C13" s="13" t="s">
        <v>47</v>
      </c>
      <c r="D13" s="13" t="s">
        <v>47</v>
      </c>
      <c r="E13" s="13">
        <v>95736</v>
      </c>
      <c r="F13" s="13">
        <v>346</v>
      </c>
      <c r="G13" s="12"/>
      <c r="H13" s="12"/>
      <c r="I13" s="12"/>
      <c r="J13" s="12"/>
      <c r="K13" s="12"/>
    </row>
    <row r="14" spans="1:11" x14ac:dyDescent="0.25">
      <c r="A14" s="13">
        <v>13</v>
      </c>
      <c r="B14" s="13" t="s">
        <v>23</v>
      </c>
      <c r="C14" s="13" t="s">
        <v>48</v>
      </c>
      <c r="D14" s="13" t="s">
        <v>49</v>
      </c>
      <c r="E14" s="13">
        <v>33996</v>
      </c>
      <c r="F14" s="13">
        <v>67</v>
      </c>
      <c r="G14" s="12"/>
      <c r="H14" s="12"/>
      <c r="I14" s="12"/>
      <c r="J14" s="12"/>
      <c r="K14" s="12"/>
    </row>
    <row r="15" spans="1:11" x14ac:dyDescent="0.25">
      <c r="A15" s="13">
        <v>14</v>
      </c>
      <c r="B15" s="13" t="s">
        <v>32</v>
      </c>
      <c r="C15" s="13" t="s">
        <v>50</v>
      </c>
      <c r="D15" s="13" t="s">
        <v>51</v>
      </c>
      <c r="E15" s="13">
        <v>9251</v>
      </c>
      <c r="F15" s="13">
        <v>28</v>
      </c>
      <c r="G15" s="12"/>
      <c r="H15" s="12"/>
      <c r="I15" s="12"/>
      <c r="J15" s="12"/>
      <c r="K15" s="12"/>
    </row>
    <row r="16" spans="1:11" x14ac:dyDescent="0.25">
      <c r="A16" s="13">
        <v>15</v>
      </c>
      <c r="B16" s="13" t="s">
        <v>32</v>
      </c>
      <c r="C16" s="13" t="s">
        <v>52</v>
      </c>
      <c r="D16" s="13" t="s">
        <v>52</v>
      </c>
      <c r="E16" s="13">
        <v>280225</v>
      </c>
      <c r="F16" s="13">
        <v>964</v>
      </c>
      <c r="G16" s="12"/>
      <c r="H16" s="12"/>
      <c r="I16" s="12"/>
      <c r="J16" s="12"/>
      <c r="K16" s="12"/>
    </row>
    <row r="17" spans="1:11" x14ac:dyDescent="0.25">
      <c r="A17" s="13">
        <v>16</v>
      </c>
      <c r="B17" s="13" t="s">
        <v>32</v>
      </c>
      <c r="C17" s="13" t="s">
        <v>54</v>
      </c>
      <c r="D17" s="13" t="s">
        <v>54</v>
      </c>
      <c r="E17" s="13">
        <v>335583</v>
      </c>
      <c r="F17" s="13">
        <v>1053</v>
      </c>
      <c r="G17" s="12"/>
      <c r="H17" s="12"/>
      <c r="I17" s="12"/>
      <c r="J17" s="12"/>
      <c r="K17" s="12"/>
    </row>
    <row r="18" spans="1:11" x14ac:dyDescent="0.25">
      <c r="A18" s="13">
        <v>17</v>
      </c>
      <c r="B18" s="13" t="s">
        <v>23</v>
      </c>
      <c r="C18" s="13" t="s">
        <v>55</v>
      </c>
      <c r="D18" s="13" t="s">
        <v>56</v>
      </c>
      <c r="E18" s="13">
        <v>125245</v>
      </c>
      <c r="F18" s="13">
        <v>535</v>
      </c>
      <c r="G18" s="12"/>
      <c r="H18" s="12"/>
      <c r="I18" s="12"/>
      <c r="J18" s="12"/>
      <c r="K18" s="12"/>
    </row>
    <row r="19" spans="1:11" x14ac:dyDescent="0.25">
      <c r="A19" s="13">
        <v>18</v>
      </c>
      <c r="B19" s="13" t="s">
        <v>32</v>
      </c>
      <c r="C19" s="13" t="s">
        <v>58</v>
      </c>
      <c r="D19" s="13" t="s">
        <v>58</v>
      </c>
      <c r="E19" s="13">
        <v>205823</v>
      </c>
      <c r="F19" s="13">
        <v>652</v>
      </c>
      <c r="G19" s="12"/>
      <c r="H19" s="12"/>
      <c r="I19" s="12"/>
      <c r="J19" s="12"/>
      <c r="K19" s="12"/>
    </row>
    <row r="20" spans="1:11" x14ac:dyDescent="0.25">
      <c r="A20" s="13">
        <v>19</v>
      </c>
      <c r="B20" s="13" t="s">
        <v>23</v>
      </c>
      <c r="C20" s="13" t="s">
        <v>182</v>
      </c>
      <c r="D20" s="13" t="s">
        <v>59</v>
      </c>
      <c r="E20" s="13">
        <v>152368</v>
      </c>
      <c r="F20" s="13">
        <v>293</v>
      </c>
      <c r="G20" s="12"/>
      <c r="H20" s="12"/>
      <c r="I20" s="12"/>
      <c r="J20" s="12"/>
      <c r="K20" s="12"/>
    </row>
    <row r="21" spans="1:11" x14ac:dyDescent="0.25">
      <c r="A21" s="13">
        <v>20</v>
      </c>
      <c r="B21" s="13" t="s">
        <v>23</v>
      </c>
      <c r="C21" s="13" t="s">
        <v>60</v>
      </c>
      <c r="D21" s="13" t="s">
        <v>61</v>
      </c>
      <c r="E21" s="13">
        <v>7939</v>
      </c>
      <c r="F21" s="13">
        <v>25</v>
      </c>
      <c r="G21" s="12"/>
      <c r="H21" s="12"/>
      <c r="I21" s="12"/>
      <c r="J21" s="12"/>
      <c r="K21" s="12"/>
    </row>
    <row r="22" spans="1:11" x14ac:dyDescent="0.25">
      <c r="A22" s="13">
        <v>21</v>
      </c>
      <c r="B22" s="13" t="s">
        <v>23</v>
      </c>
      <c r="C22" s="13" t="s">
        <v>183</v>
      </c>
      <c r="D22" s="13" t="s">
        <v>63</v>
      </c>
      <c r="E22" s="13">
        <v>94483</v>
      </c>
      <c r="F22" s="13">
        <v>335</v>
      </c>
      <c r="G22" s="12"/>
      <c r="H22" s="12"/>
      <c r="I22" s="12"/>
      <c r="J22" s="12"/>
      <c r="K22" s="12"/>
    </row>
    <row r="23" spans="1:11" x14ac:dyDescent="0.25">
      <c r="A23" s="13">
        <v>22</v>
      </c>
      <c r="B23" s="13" t="s">
        <v>23</v>
      </c>
      <c r="C23" s="13" t="s">
        <v>64</v>
      </c>
      <c r="D23" s="13" t="s">
        <v>65</v>
      </c>
      <c r="E23" s="13">
        <v>9437</v>
      </c>
      <c r="F23" s="13">
        <v>61</v>
      </c>
      <c r="G23" s="12"/>
      <c r="H23" s="12"/>
      <c r="I23" s="12"/>
      <c r="J23" s="12"/>
      <c r="K23" s="12"/>
    </row>
    <row r="24" spans="1:11" x14ac:dyDescent="0.25">
      <c r="A24" s="13">
        <v>23</v>
      </c>
      <c r="B24" s="13" t="s">
        <v>32</v>
      </c>
      <c r="C24" s="13" t="s">
        <v>67</v>
      </c>
      <c r="D24" s="13" t="s">
        <v>67</v>
      </c>
      <c r="E24" s="13">
        <v>7560</v>
      </c>
      <c r="F24" s="13">
        <v>15</v>
      </c>
      <c r="G24" s="12"/>
      <c r="H24" s="12"/>
      <c r="I24" s="12"/>
      <c r="J24" s="12"/>
      <c r="K24" s="12"/>
    </row>
    <row r="25" spans="1:11" x14ac:dyDescent="0.25">
      <c r="A25" s="13">
        <v>24</v>
      </c>
      <c r="B25" s="13" t="s">
        <v>23</v>
      </c>
      <c r="C25" s="13" t="s">
        <v>68</v>
      </c>
      <c r="D25" s="13" t="s">
        <v>69</v>
      </c>
      <c r="E25" s="13">
        <v>118693</v>
      </c>
      <c r="F25" s="13">
        <v>422</v>
      </c>
      <c r="G25" s="12"/>
      <c r="H25" s="12"/>
      <c r="I25" s="12"/>
      <c r="J25" s="12"/>
      <c r="K25" s="12"/>
    </row>
    <row r="26" spans="1:11" x14ac:dyDescent="0.25">
      <c r="A26" s="13">
        <v>25</v>
      </c>
      <c r="B26" s="13" t="s">
        <v>32</v>
      </c>
      <c r="C26" s="13" t="s">
        <v>70</v>
      </c>
      <c r="D26" s="13" t="s">
        <v>70</v>
      </c>
      <c r="E26" s="13">
        <v>64753</v>
      </c>
      <c r="F26" s="13">
        <v>143</v>
      </c>
      <c r="G26" s="12"/>
      <c r="H26" s="12"/>
      <c r="I26" s="12"/>
      <c r="J26" s="12"/>
      <c r="K26" s="12"/>
    </row>
    <row r="27" spans="1:11" x14ac:dyDescent="0.25">
      <c r="A27" s="13">
        <v>26</v>
      </c>
      <c r="B27" s="13" t="s">
        <v>23</v>
      </c>
      <c r="C27" s="13" t="s">
        <v>71</v>
      </c>
      <c r="D27" s="13" t="s">
        <v>72</v>
      </c>
      <c r="E27" s="13">
        <v>132654</v>
      </c>
      <c r="F27" s="13">
        <v>299</v>
      </c>
      <c r="G27" s="12"/>
      <c r="H27" s="12"/>
      <c r="I27" s="12"/>
      <c r="J27" s="12"/>
      <c r="K27" s="12"/>
    </row>
    <row r="28" spans="1:11" x14ac:dyDescent="0.25">
      <c r="A28" s="13">
        <v>27</v>
      </c>
      <c r="B28" s="13" t="s">
        <v>23</v>
      </c>
      <c r="C28" s="13" t="s">
        <v>73</v>
      </c>
      <c r="D28" s="13" t="s">
        <v>74</v>
      </c>
      <c r="E28" s="13">
        <v>33130</v>
      </c>
      <c r="F28" s="13">
        <v>115</v>
      </c>
      <c r="G28" s="12"/>
      <c r="H28" s="12"/>
      <c r="I28" s="12"/>
      <c r="J28" s="12"/>
      <c r="K28" s="12"/>
    </row>
    <row r="29" spans="1:11" x14ac:dyDescent="0.25">
      <c r="A29" s="13">
        <v>28</v>
      </c>
      <c r="B29" s="13" t="s">
        <v>23</v>
      </c>
      <c r="C29" s="13" t="s">
        <v>184</v>
      </c>
      <c r="D29" s="13" t="s">
        <v>76</v>
      </c>
      <c r="E29" s="13">
        <v>223399</v>
      </c>
      <c r="F29" s="13">
        <v>659</v>
      </c>
      <c r="G29" s="12"/>
      <c r="H29" s="12"/>
      <c r="I29" s="12"/>
      <c r="J29" s="12"/>
      <c r="K29" s="12"/>
    </row>
    <row r="30" spans="1:11" x14ac:dyDescent="0.25">
      <c r="A30" s="13">
        <v>29</v>
      </c>
      <c r="B30" s="13" t="s">
        <v>23</v>
      </c>
      <c r="C30" s="13" t="s">
        <v>77</v>
      </c>
      <c r="D30" s="13" t="s">
        <v>78</v>
      </c>
      <c r="E30" s="13">
        <v>332214</v>
      </c>
      <c r="F30" s="13">
        <v>1070</v>
      </c>
      <c r="G30" s="12"/>
      <c r="H30" s="12"/>
      <c r="I30" s="12"/>
      <c r="J30" s="12"/>
      <c r="K30" s="12"/>
    </row>
    <row r="31" spans="1:11" x14ac:dyDescent="0.25">
      <c r="A31" s="13">
        <v>30</v>
      </c>
      <c r="B31" s="13" t="s">
        <v>23</v>
      </c>
      <c r="C31" s="13" t="s">
        <v>122</v>
      </c>
      <c r="D31" s="13" t="s">
        <v>79</v>
      </c>
      <c r="E31" s="13">
        <v>377180</v>
      </c>
      <c r="F31" s="13">
        <v>1304</v>
      </c>
      <c r="G31" s="12"/>
      <c r="H31" s="12"/>
      <c r="I31" s="12"/>
      <c r="J31" s="12"/>
      <c r="K31" s="12"/>
    </row>
    <row r="32" spans="1:11" x14ac:dyDescent="0.25">
      <c r="A32" s="13">
        <v>31</v>
      </c>
      <c r="B32" s="13" t="s">
        <v>32</v>
      </c>
      <c r="C32" s="13" t="s">
        <v>80</v>
      </c>
      <c r="D32" s="13" t="s">
        <v>80</v>
      </c>
      <c r="E32" s="13">
        <v>17599</v>
      </c>
      <c r="F32" s="13">
        <v>49</v>
      </c>
      <c r="G32" s="12"/>
      <c r="H32" s="12"/>
      <c r="I32" s="12"/>
      <c r="J32" s="12"/>
      <c r="K32" s="12"/>
    </row>
    <row r="33" spans="1:11" x14ac:dyDescent="0.25">
      <c r="A33" s="13">
        <v>32</v>
      </c>
      <c r="B33" s="13" t="s">
        <v>32</v>
      </c>
      <c r="C33" s="13" t="s">
        <v>82</v>
      </c>
      <c r="D33" s="13" t="s">
        <v>82</v>
      </c>
      <c r="E33" s="13">
        <v>71738</v>
      </c>
      <c r="F33" s="13">
        <v>162</v>
      </c>
      <c r="G33" s="12"/>
      <c r="H33" s="12"/>
      <c r="I33" s="12"/>
      <c r="J33" s="12"/>
      <c r="K33" s="12"/>
    </row>
    <row r="34" spans="1:11" x14ac:dyDescent="0.25">
      <c r="A34" s="13">
        <v>33</v>
      </c>
      <c r="B34" s="13" t="s">
        <v>23</v>
      </c>
      <c r="C34" s="13" t="s">
        <v>83</v>
      </c>
      <c r="D34" s="13" t="s">
        <v>84</v>
      </c>
      <c r="E34" s="13">
        <v>123119</v>
      </c>
      <c r="F34" s="13">
        <v>431</v>
      </c>
      <c r="G34" s="12"/>
      <c r="H34" s="12"/>
      <c r="I34" s="12"/>
      <c r="J34" s="12"/>
      <c r="K34" s="12"/>
    </row>
    <row r="35" spans="1:11" x14ac:dyDescent="0.25">
      <c r="A35" s="13">
        <v>34</v>
      </c>
      <c r="B35" s="13" t="s">
        <v>23</v>
      </c>
      <c r="C35" s="13" t="s">
        <v>185</v>
      </c>
      <c r="D35" s="13" t="s">
        <v>86</v>
      </c>
      <c r="E35" s="13">
        <v>141683</v>
      </c>
      <c r="F35" s="13">
        <v>360</v>
      </c>
      <c r="G35" s="12"/>
      <c r="H35" s="12"/>
      <c r="I35" s="12"/>
      <c r="J35" s="12"/>
      <c r="K35" s="12"/>
    </row>
    <row r="36" spans="1:11" x14ac:dyDescent="0.25">
      <c r="A36" s="13">
        <v>35</v>
      </c>
      <c r="B36" s="13" t="s">
        <v>23</v>
      </c>
      <c r="C36" s="13" t="s">
        <v>87</v>
      </c>
      <c r="D36" s="13" t="s">
        <v>88</v>
      </c>
      <c r="E36" s="13">
        <v>146838</v>
      </c>
      <c r="F36" s="13">
        <v>231</v>
      </c>
      <c r="G36" s="12"/>
      <c r="H36" s="12"/>
      <c r="I36" s="12"/>
      <c r="J36" s="12"/>
      <c r="K36" s="12"/>
    </row>
    <row r="37" spans="1:11" x14ac:dyDescent="0.25">
      <c r="A37" s="13">
        <v>36</v>
      </c>
      <c r="B37" s="13" t="s">
        <v>23</v>
      </c>
      <c r="C37" s="13" t="s">
        <v>89</v>
      </c>
      <c r="D37" s="13" t="s">
        <v>90</v>
      </c>
      <c r="E37" s="13">
        <v>182955</v>
      </c>
      <c r="F37" s="13">
        <v>604</v>
      </c>
      <c r="G37" s="12"/>
      <c r="H37" s="12"/>
      <c r="I37" s="12"/>
      <c r="J37" s="12"/>
      <c r="K37" s="12"/>
    </row>
    <row r="38" spans="1:11" x14ac:dyDescent="0.25">
      <c r="A38" s="13">
        <v>37</v>
      </c>
      <c r="B38" s="13" t="s">
        <v>23</v>
      </c>
      <c r="C38" s="13" t="s">
        <v>91</v>
      </c>
      <c r="D38" s="13" t="s">
        <v>92</v>
      </c>
      <c r="E38" s="13">
        <v>379625</v>
      </c>
      <c r="F38" s="13">
        <v>1569</v>
      </c>
      <c r="G38" s="12"/>
      <c r="H38" s="12"/>
      <c r="I38" s="12"/>
      <c r="J38" s="12"/>
      <c r="K38" s="12"/>
    </row>
    <row r="39" spans="1:11" x14ac:dyDescent="0.25">
      <c r="A39" s="13">
        <v>38</v>
      </c>
      <c r="B39" s="13" t="s">
        <v>23</v>
      </c>
      <c r="C39" s="13" t="s">
        <v>67</v>
      </c>
      <c r="D39" s="13" t="s">
        <v>94</v>
      </c>
      <c r="E39" s="13">
        <v>234250</v>
      </c>
      <c r="F39" s="13">
        <v>741</v>
      </c>
      <c r="G39" s="12"/>
      <c r="H39" s="12"/>
      <c r="I39" s="12"/>
      <c r="J39" s="12"/>
      <c r="K39" s="12"/>
    </row>
    <row r="40" spans="1:11" x14ac:dyDescent="0.25">
      <c r="A40" s="13">
        <v>39</v>
      </c>
      <c r="B40" s="13" t="s">
        <v>23</v>
      </c>
      <c r="C40" s="13" t="s">
        <v>186</v>
      </c>
      <c r="D40" s="13" t="s">
        <v>95</v>
      </c>
      <c r="E40" s="13">
        <v>11269</v>
      </c>
      <c r="F40" s="13">
        <v>49</v>
      </c>
      <c r="G40" s="12"/>
      <c r="H40" s="12"/>
      <c r="I40" s="12"/>
      <c r="J40" s="12"/>
      <c r="K40" s="12"/>
    </row>
    <row r="41" spans="1:11" x14ac:dyDescent="0.25">
      <c r="A41" s="13">
        <v>40</v>
      </c>
      <c r="B41" s="13" t="s">
        <v>23</v>
      </c>
      <c r="C41" s="13" t="s">
        <v>187</v>
      </c>
      <c r="D41" s="13" t="s">
        <v>74</v>
      </c>
      <c r="E41" s="13">
        <v>228030</v>
      </c>
      <c r="F41" s="13">
        <v>510</v>
      </c>
      <c r="G41" s="12"/>
      <c r="H41" s="12"/>
      <c r="I41" s="12"/>
      <c r="J41" s="12"/>
      <c r="K41" s="12"/>
    </row>
    <row r="42" spans="1:11" x14ac:dyDescent="0.25">
      <c r="A42" s="13">
        <v>41</v>
      </c>
      <c r="B42" s="13" t="s">
        <v>32</v>
      </c>
      <c r="C42" s="13" t="s">
        <v>97</v>
      </c>
      <c r="D42" s="13" t="s">
        <v>97</v>
      </c>
      <c r="E42" s="13">
        <v>214711</v>
      </c>
      <c r="F42" s="13">
        <v>578</v>
      </c>
      <c r="G42" s="12"/>
      <c r="H42" s="12"/>
      <c r="I42" s="12"/>
      <c r="J42" s="12"/>
      <c r="K42" s="12"/>
    </row>
    <row r="43" spans="1:11" x14ac:dyDescent="0.25">
      <c r="A43" s="13">
        <v>42</v>
      </c>
      <c r="B43" s="13" t="s">
        <v>32</v>
      </c>
      <c r="C43" s="13" t="s">
        <v>98</v>
      </c>
      <c r="D43" s="13" t="s">
        <v>98</v>
      </c>
      <c r="E43" s="13">
        <v>23539</v>
      </c>
      <c r="F43" s="13">
        <v>31</v>
      </c>
      <c r="G43" s="12"/>
      <c r="H43" s="12"/>
      <c r="I43" s="12"/>
      <c r="J43" s="12"/>
      <c r="K43" s="12"/>
    </row>
    <row r="44" spans="1:11" x14ac:dyDescent="0.25">
      <c r="A44" s="13">
        <v>43</v>
      </c>
      <c r="B44" s="13" t="s">
        <v>23</v>
      </c>
      <c r="C44" s="13" t="s">
        <v>99</v>
      </c>
      <c r="D44" s="13" t="s">
        <v>100</v>
      </c>
      <c r="E44" s="13">
        <v>191536</v>
      </c>
      <c r="F44" s="13">
        <v>300</v>
      </c>
      <c r="G44" s="12"/>
      <c r="H44" s="12"/>
      <c r="I44" s="12"/>
      <c r="J44" s="12"/>
      <c r="K44" s="12"/>
    </row>
    <row r="45" spans="1:11" x14ac:dyDescent="0.25">
      <c r="A45" s="13">
        <v>44</v>
      </c>
      <c r="B45" s="13" t="s">
        <v>23</v>
      </c>
      <c r="C45" s="13" t="s">
        <v>101</v>
      </c>
      <c r="D45" s="13" t="s">
        <v>102</v>
      </c>
      <c r="E45" s="13">
        <v>282868</v>
      </c>
      <c r="F45" s="13">
        <v>974</v>
      </c>
      <c r="G45" s="12"/>
      <c r="H45" s="12"/>
      <c r="I45" s="12"/>
      <c r="J45" s="12"/>
      <c r="K45" s="12"/>
    </row>
    <row r="46" spans="1:11" x14ac:dyDescent="0.25">
      <c r="A46" s="13">
        <v>45</v>
      </c>
      <c r="B46" s="13" t="s">
        <v>32</v>
      </c>
      <c r="C46" s="13" t="s">
        <v>103</v>
      </c>
      <c r="D46" s="13" t="s">
        <v>103</v>
      </c>
      <c r="E46" s="13">
        <v>39143</v>
      </c>
      <c r="F46" s="13">
        <v>110</v>
      </c>
      <c r="G46" s="12"/>
      <c r="H46" s="12"/>
      <c r="I46" s="12"/>
      <c r="J46" s="12"/>
      <c r="K46" s="12"/>
    </row>
    <row r="47" spans="1:11" x14ac:dyDescent="0.25">
      <c r="A47" s="13">
        <v>46</v>
      </c>
      <c r="B47" s="13" t="s">
        <v>32</v>
      </c>
      <c r="C47" s="13" t="s">
        <v>104</v>
      </c>
      <c r="D47" s="13" t="s">
        <v>104</v>
      </c>
      <c r="E47" s="13">
        <v>154778</v>
      </c>
      <c r="F47" s="13">
        <v>302</v>
      </c>
      <c r="G47" s="12"/>
      <c r="H47" s="12"/>
      <c r="I47" s="12"/>
      <c r="J47" s="12"/>
      <c r="K47" s="12"/>
    </row>
    <row r="48" spans="1:11" x14ac:dyDescent="0.25">
      <c r="A48" s="13">
        <v>47</v>
      </c>
      <c r="B48" s="13" t="s">
        <v>23</v>
      </c>
      <c r="C48" s="13" t="s">
        <v>188</v>
      </c>
      <c r="D48" s="13" t="s">
        <v>106</v>
      </c>
      <c r="E48" s="13">
        <v>85379</v>
      </c>
      <c r="F48" s="13">
        <v>387</v>
      </c>
      <c r="G48" s="12"/>
      <c r="H48" s="12"/>
      <c r="I48" s="12"/>
      <c r="J48" s="12"/>
      <c r="K48" s="12"/>
    </row>
    <row r="49" spans="1:11" x14ac:dyDescent="0.25">
      <c r="A49" s="13">
        <v>48</v>
      </c>
      <c r="B49" s="13" t="s">
        <v>23</v>
      </c>
      <c r="C49" s="13" t="s">
        <v>76</v>
      </c>
      <c r="D49" s="13" t="s">
        <v>108</v>
      </c>
      <c r="E49" s="13">
        <v>127035</v>
      </c>
      <c r="F49" s="13">
        <v>379</v>
      </c>
      <c r="G49" s="12"/>
      <c r="H49" s="12"/>
      <c r="I49" s="12"/>
      <c r="J49" s="12"/>
      <c r="K49" s="12"/>
    </row>
    <row r="50" spans="1:11" x14ac:dyDescent="0.25">
      <c r="A50" s="13">
        <v>49</v>
      </c>
      <c r="B50" s="13" t="s">
        <v>32</v>
      </c>
      <c r="C50" s="13" t="s">
        <v>66</v>
      </c>
      <c r="D50" s="13" t="s">
        <v>66</v>
      </c>
      <c r="E50" s="13">
        <v>17685</v>
      </c>
      <c r="F50" s="13">
        <v>37</v>
      </c>
      <c r="G50" s="12"/>
      <c r="H50" s="12"/>
      <c r="I50" s="12"/>
      <c r="J50" s="12"/>
      <c r="K50" s="12"/>
    </row>
    <row r="51" spans="1:11" x14ac:dyDescent="0.25">
      <c r="A51" s="13">
        <v>50</v>
      </c>
      <c r="B51" s="13" t="s">
        <v>32</v>
      </c>
      <c r="C51" s="13" t="s">
        <v>109</v>
      </c>
      <c r="D51" s="13" t="s">
        <v>109</v>
      </c>
      <c r="E51" s="13">
        <v>286417</v>
      </c>
      <c r="F51" s="13">
        <v>1099</v>
      </c>
      <c r="G51" s="12"/>
      <c r="H51" s="12"/>
      <c r="I51" s="12"/>
      <c r="J51" s="12"/>
      <c r="K51" s="12"/>
    </row>
    <row r="52" spans="1:11" x14ac:dyDescent="0.25">
      <c r="A52" s="13">
        <v>51</v>
      </c>
      <c r="B52" s="13" t="s">
        <v>23</v>
      </c>
      <c r="C52" s="13" t="s">
        <v>110</v>
      </c>
      <c r="D52" s="13" t="s">
        <v>111</v>
      </c>
      <c r="E52" s="13">
        <v>180397</v>
      </c>
      <c r="F52" s="13">
        <v>412</v>
      </c>
      <c r="G52" s="12"/>
      <c r="H52" s="12"/>
      <c r="I52" s="12"/>
      <c r="J52" s="12"/>
      <c r="K52" s="12"/>
    </row>
    <row r="53" spans="1:11" x14ac:dyDescent="0.25">
      <c r="A53" s="13">
        <v>52</v>
      </c>
      <c r="B53" s="13" t="s">
        <v>32</v>
      </c>
      <c r="C53" s="13" t="s">
        <v>113</v>
      </c>
      <c r="D53" s="13" t="s">
        <v>113</v>
      </c>
      <c r="E53" s="13">
        <v>196895</v>
      </c>
      <c r="F53" s="13">
        <v>735</v>
      </c>
      <c r="G53" s="12"/>
      <c r="H53" s="12"/>
      <c r="I53" s="12"/>
      <c r="J53" s="12"/>
      <c r="K53" s="12"/>
    </row>
    <row r="54" spans="1:11" x14ac:dyDescent="0.25">
      <c r="A54" s="13">
        <v>53</v>
      </c>
      <c r="B54" s="13" t="s">
        <v>23</v>
      </c>
      <c r="C54" s="13" t="s">
        <v>189</v>
      </c>
      <c r="D54" s="13" t="s">
        <v>115</v>
      </c>
      <c r="E54" s="13">
        <v>253112</v>
      </c>
      <c r="F54" s="13">
        <v>816</v>
      </c>
      <c r="G54" s="12"/>
      <c r="H54" s="12"/>
      <c r="I54" s="12"/>
      <c r="J54" s="12"/>
      <c r="K54" s="12"/>
    </row>
    <row r="55" spans="1:11" x14ac:dyDescent="0.25">
      <c r="A55" s="13">
        <v>54</v>
      </c>
      <c r="B55" s="13" t="s">
        <v>23</v>
      </c>
      <c r="C55" s="13" t="s">
        <v>116</v>
      </c>
      <c r="D55" s="13" t="s">
        <v>117</v>
      </c>
      <c r="E55" s="13">
        <v>497942</v>
      </c>
      <c r="F55" s="13">
        <v>2085</v>
      </c>
      <c r="G55" s="12"/>
      <c r="H55" s="12"/>
      <c r="I55" s="12"/>
      <c r="J55" s="12"/>
      <c r="K55" s="12"/>
    </row>
    <row r="56" spans="1:11" x14ac:dyDescent="0.25">
      <c r="A56" s="13">
        <v>55</v>
      </c>
      <c r="B56" s="13" t="s">
        <v>32</v>
      </c>
      <c r="C56" s="13" t="s">
        <v>118</v>
      </c>
      <c r="D56" s="13" t="s">
        <v>118</v>
      </c>
      <c r="E56" s="13">
        <v>109471</v>
      </c>
      <c r="F56" s="13">
        <v>308</v>
      </c>
      <c r="G56" s="12"/>
      <c r="H56" s="12"/>
      <c r="I56" s="12"/>
      <c r="J56" s="12"/>
      <c r="K56" s="12"/>
    </row>
    <row r="57" spans="1:11" x14ac:dyDescent="0.25">
      <c r="A57" s="13">
        <v>56</v>
      </c>
      <c r="B57" s="13" t="s">
        <v>32</v>
      </c>
      <c r="C57" s="13" t="s">
        <v>119</v>
      </c>
      <c r="D57" s="13" t="s">
        <v>119</v>
      </c>
      <c r="E57" s="13">
        <v>90228</v>
      </c>
      <c r="F57" s="13">
        <v>98</v>
      </c>
      <c r="G57" s="12"/>
      <c r="H57" s="12"/>
      <c r="I57" s="12"/>
      <c r="J57" s="12"/>
      <c r="K57" s="12"/>
    </row>
    <row r="58" spans="1:11" x14ac:dyDescent="0.25">
      <c r="A58" s="13">
        <v>57</v>
      </c>
      <c r="B58" s="13" t="s">
        <v>32</v>
      </c>
      <c r="C58" s="13" t="s">
        <v>120</v>
      </c>
      <c r="D58" s="13" t="s">
        <v>120</v>
      </c>
      <c r="E58" s="13">
        <v>77688</v>
      </c>
      <c r="F58" s="13">
        <v>310</v>
      </c>
      <c r="G58" s="12"/>
      <c r="H58" s="12"/>
      <c r="I58" s="12"/>
      <c r="J58" s="12"/>
      <c r="K58" s="12"/>
    </row>
    <row r="59" spans="1:11" x14ac:dyDescent="0.25">
      <c r="A59" s="13">
        <v>58</v>
      </c>
      <c r="B59" s="13" t="s">
        <v>32</v>
      </c>
      <c r="C59" s="13" t="s">
        <v>121</v>
      </c>
      <c r="D59" s="13" t="s">
        <v>121</v>
      </c>
      <c r="E59" s="13">
        <v>83713</v>
      </c>
      <c r="F59" s="13">
        <v>158</v>
      </c>
      <c r="G59" s="12"/>
      <c r="H59" s="12"/>
      <c r="I59" s="12"/>
      <c r="J59" s="12"/>
      <c r="K59" s="12"/>
    </row>
    <row r="60" spans="1:11" x14ac:dyDescent="0.25">
      <c r="A60" s="13">
        <v>59</v>
      </c>
      <c r="B60" s="13" t="s">
        <v>23</v>
      </c>
      <c r="C60" s="13" t="s">
        <v>190</v>
      </c>
      <c r="D60" s="13" t="s">
        <v>114</v>
      </c>
      <c r="E60" s="13">
        <v>395080</v>
      </c>
      <c r="F60" s="13">
        <v>1469</v>
      </c>
      <c r="G60" s="12"/>
      <c r="H60" s="12"/>
      <c r="I60" s="12"/>
      <c r="J60" s="12"/>
      <c r="K60" s="12"/>
    </row>
    <row r="61" spans="1:11" x14ac:dyDescent="0.25">
      <c r="A61" s="13">
        <v>60</v>
      </c>
      <c r="B61" s="13" t="s">
        <v>23</v>
      </c>
      <c r="C61" s="13" t="s">
        <v>45</v>
      </c>
      <c r="D61" s="13" t="s">
        <v>124</v>
      </c>
      <c r="E61" s="13">
        <v>369724</v>
      </c>
      <c r="F61" s="13">
        <v>1189</v>
      </c>
      <c r="G61" s="12"/>
      <c r="H61" s="12"/>
      <c r="I61" s="12"/>
      <c r="J61" s="12"/>
      <c r="K61" s="12"/>
    </row>
    <row r="62" spans="1:11" x14ac:dyDescent="0.25">
      <c r="A62" s="13">
        <v>61</v>
      </c>
      <c r="B62" s="13" t="s">
        <v>32</v>
      </c>
      <c r="C62" s="13" t="s">
        <v>95</v>
      </c>
      <c r="D62" s="13" t="s">
        <v>95</v>
      </c>
      <c r="E62" s="13">
        <v>40873</v>
      </c>
      <c r="F62" s="13">
        <v>139</v>
      </c>
      <c r="G62" s="12"/>
      <c r="H62" s="12"/>
      <c r="I62" s="12"/>
      <c r="J62" s="12"/>
      <c r="K62" s="12"/>
    </row>
    <row r="63" spans="1:11" x14ac:dyDescent="0.25">
      <c r="A63" s="13">
        <v>62</v>
      </c>
      <c r="B63" s="13" t="s">
        <v>23</v>
      </c>
      <c r="C63" s="13" t="s">
        <v>126</v>
      </c>
      <c r="D63" s="13" t="s">
        <v>127</v>
      </c>
      <c r="E63" s="13">
        <v>33937</v>
      </c>
      <c r="F63" s="13">
        <v>116</v>
      </c>
      <c r="G63" s="12"/>
      <c r="H63" s="12"/>
      <c r="I63" s="12"/>
      <c r="J63" s="12"/>
      <c r="K63" s="12"/>
    </row>
    <row r="64" spans="1:11" x14ac:dyDescent="0.25">
      <c r="A64" s="13">
        <v>63</v>
      </c>
      <c r="B64" s="13" t="s">
        <v>23</v>
      </c>
      <c r="C64" s="13" t="s">
        <v>191</v>
      </c>
      <c r="D64" s="13" t="s">
        <v>129</v>
      </c>
      <c r="E64" s="13">
        <v>527049</v>
      </c>
      <c r="F64" s="13">
        <v>2061</v>
      </c>
      <c r="G64" s="12"/>
      <c r="H64" s="12"/>
      <c r="I64" s="12"/>
      <c r="J64" s="12"/>
      <c r="K64" s="12"/>
    </row>
    <row r="65" spans="1:11" x14ac:dyDescent="0.25">
      <c r="A65" s="13">
        <v>64</v>
      </c>
      <c r="B65" s="13" t="s">
        <v>23</v>
      </c>
      <c r="C65" s="13" t="s">
        <v>127</v>
      </c>
      <c r="D65" s="13" t="s">
        <v>131</v>
      </c>
      <c r="E65" s="13">
        <v>285291</v>
      </c>
      <c r="F65" s="13">
        <v>984</v>
      </c>
      <c r="G65" s="12"/>
      <c r="H65" s="12"/>
      <c r="I65" s="12"/>
      <c r="J65" s="12"/>
      <c r="K65" s="12"/>
    </row>
    <row r="66" spans="1:11" x14ac:dyDescent="0.25">
      <c r="A66" s="13">
        <v>65</v>
      </c>
      <c r="B66" s="13" t="s">
        <v>32</v>
      </c>
      <c r="C66" s="13" t="s">
        <v>133</v>
      </c>
      <c r="D66" s="13" t="s">
        <v>133</v>
      </c>
      <c r="E66" s="13">
        <v>153021</v>
      </c>
      <c r="F66" s="13">
        <v>511</v>
      </c>
      <c r="G66" s="12"/>
      <c r="H66" s="12"/>
      <c r="I66" s="12"/>
      <c r="J66" s="12"/>
      <c r="K66" s="12"/>
    </row>
    <row r="67" spans="1:11" x14ac:dyDescent="0.25">
      <c r="A67" s="13">
        <v>66</v>
      </c>
      <c r="B67" s="13" t="s">
        <v>32</v>
      </c>
      <c r="C67" s="13" t="s">
        <v>99</v>
      </c>
      <c r="D67" s="13" t="s">
        <v>99</v>
      </c>
      <c r="E67" s="13">
        <v>71793</v>
      </c>
      <c r="F67" s="13">
        <v>154</v>
      </c>
      <c r="G67" s="12"/>
      <c r="H67" s="12"/>
      <c r="I67" s="12"/>
      <c r="J67" s="12"/>
      <c r="K67" s="12"/>
    </row>
    <row r="68" spans="1:11" x14ac:dyDescent="0.25">
      <c r="A68" s="13">
        <v>67</v>
      </c>
      <c r="B68" s="13" t="s">
        <v>23</v>
      </c>
      <c r="C68" s="13" t="s">
        <v>134</v>
      </c>
      <c r="D68" s="13" t="s">
        <v>135</v>
      </c>
      <c r="E68" s="13">
        <v>32881</v>
      </c>
      <c r="F68" s="13">
        <v>82</v>
      </c>
      <c r="G68" s="12"/>
      <c r="H68" s="12"/>
      <c r="I68" s="12"/>
      <c r="J68" s="12"/>
      <c r="K68" s="12"/>
    </row>
    <row r="69" spans="1:11" x14ac:dyDescent="0.25">
      <c r="A69" s="13">
        <v>68</v>
      </c>
      <c r="B69" s="13" t="s">
        <v>23</v>
      </c>
      <c r="C69" s="13" t="s">
        <v>171</v>
      </c>
      <c r="D69" s="13" t="s">
        <v>137</v>
      </c>
      <c r="E69" s="13">
        <v>666381</v>
      </c>
      <c r="F69" s="13">
        <v>1915</v>
      </c>
      <c r="G69" s="12"/>
      <c r="H69" s="12"/>
      <c r="I69" s="12"/>
      <c r="J69" s="12"/>
      <c r="K69" s="12"/>
    </row>
    <row r="70" spans="1:11" x14ac:dyDescent="0.25">
      <c r="A70" s="13">
        <v>69</v>
      </c>
      <c r="B70" s="13" t="s">
        <v>23</v>
      </c>
      <c r="C70" s="13" t="s">
        <v>138</v>
      </c>
      <c r="D70" s="13" t="s">
        <v>139</v>
      </c>
      <c r="E70" s="13">
        <v>203097</v>
      </c>
      <c r="F70" s="13">
        <v>601</v>
      </c>
      <c r="G70" s="12"/>
      <c r="H70" s="12"/>
      <c r="I70" s="12"/>
      <c r="J70" s="12"/>
      <c r="K70" s="12"/>
    </row>
    <row r="71" spans="1:11" x14ac:dyDescent="0.25">
      <c r="A71" s="13">
        <v>70</v>
      </c>
      <c r="B71" s="13" t="s">
        <v>23</v>
      </c>
      <c r="C71" s="13" t="s">
        <v>140</v>
      </c>
      <c r="D71" s="13" t="s">
        <v>141</v>
      </c>
      <c r="E71" s="13">
        <v>144158</v>
      </c>
      <c r="F71" s="13">
        <v>707</v>
      </c>
      <c r="G71" s="12"/>
      <c r="H71" s="12"/>
      <c r="I71" s="12"/>
      <c r="J71" s="12"/>
      <c r="K71" s="12"/>
    </row>
    <row r="72" spans="1:11" x14ac:dyDescent="0.25">
      <c r="A72" s="13">
        <v>71</v>
      </c>
      <c r="B72" s="13" t="s">
        <v>32</v>
      </c>
      <c r="C72" s="13" t="s">
        <v>142</v>
      </c>
      <c r="D72" s="13" t="s">
        <v>142</v>
      </c>
      <c r="E72" s="13">
        <v>107736</v>
      </c>
      <c r="F72" s="13">
        <v>417</v>
      </c>
      <c r="G72" s="12"/>
      <c r="H72" s="12"/>
      <c r="I72" s="12"/>
      <c r="J72" s="12"/>
      <c r="K72" s="12"/>
    </row>
    <row r="73" spans="1:11" x14ac:dyDescent="0.25">
      <c r="A73" s="13">
        <v>72</v>
      </c>
      <c r="B73" s="13" t="s">
        <v>23</v>
      </c>
      <c r="C73" s="13" t="s">
        <v>143</v>
      </c>
      <c r="D73" s="13" t="s">
        <v>144</v>
      </c>
      <c r="E73" s="13">
        <v>128570</v>
      </c>
      <c r="F73" s="13">
        <v>505</v>
      </c>
      <c r="G73" s="12"/>
      <c r="H73" s="12"/>
      <c r="I73" s="12"/>
      <c r="J73" s="12"/>
      <c r="K73" s="12"/>
    </row>
    <row r="74" spans="1:11" x14ac:dyDescent="0.25">
      <c r="A74" s="13">
        <v>73</v>
      </c>
      <c r="B74" s="13" t="s">
        <v>23</v>
      </c>
      <c r="C74" s="13" t="s">
        <v>120</v>
      </c>
      <c r="D74" s="13" t="s">
        <v>145</v>
      </c>
      <c r="E74" s="13">
        <v>269659</v>
      </c>
      <c r="F74" s="13">
        <v>1132</v>
      </c>
      <c r="G74" s="12"/>
      <c r="H74" s="12"/>
      <c r="I74" s="12"/>
      <c r="J74" s="12"/>
      <c r="K74" s="12"/>
    </row>
    <row r="75" spans="1:11" x14ac:dyDescent="0.25">
      <c r="A75" s="13">
        <v>74</v>
      </c>
      <c r="B75" s="13" t="s">
        <v>32</v>
      </c>
      <c r="C75" s="13" t="s">
        <v>146</v>
      </c>
      <c r="D75" s="13" t="s">
        <v>146</v>
      </c>
      <c r="E75" s="13">
        <v>34231</v>
      </c>
      <c r="F75" s="13">
        <v>77</v>
      </c>
      <c r="G75" s="12"/>
      <c r="H75" s="12"/>
      <c r="I75" s="12"/>
      <c r="J75" s="12"/>
      <c r="K75" s="12"/>
    </row>
    <row r="76" spans="1:11" x14ac:dyDescent="0.25">
      <c r="A76" s="13">
        <v>75</v>
      </c>
      <c r="B76" s="13" t="s">
        <v>32</v>
      </c>
      <c r="C76" s="13" t="s">
        <v>127</v>
      </c>
      <c r="D76" s="13" t="s">
        <v>127</v>
      </c>
      <c r="E76" s="13">
        <v>228507</v>
      </c>
      <c r="F76" s="13">
        <v>416</v>
      </c>
      <c r="G76" s="12"/>
      <c r="H76" s="12"/>
      <c r="I76" s="12"/>
      <c r="J76" s="12"/>
      <c r="K76" s="12"/>
    </row>
    <row r="77" spans="1:11" x14ac:dyDescent="0.25">
      <c r="A77" s="13">
        <v>76</v>
      </c>
      <c r="B77" s="13" t="s">
        <v>23</v>
      </c>
      <c r="C77" s="13" t="s">
        <v>147</v>
      </c>
      <c r="D77" s="13" t="s">
        <v>148</v>
      </c>
      <c r="E77" s="13">
        <v>36333</v>
      </c>
      <c r="F77" s="13">
        <v>58</v>
      </c>
      <c r="G77" s="12"/>
      <c r="H77" s="12"/>
      <c r="I77" s="12"/>
      <c r="J77" s="12"/>
      <c r="K77" s="12"/>
    </row>
    <row r="78" spans="1:11" x14ac:dyDescent="0.25">
      <c r="A78" s="13">
        <v>77</v>
      </c>
      <c r="B78" s="13" t="s">
        <v>23</v>
      </c>
      <c r="C78" s="13" t="s">
        <v>192</v>
      </c>
      <c r="D78" s="13" t="s">
        <v>150</v>
      </c>
      <c r="E78" s="13">
        <v>83733</v>
      </c>
      <c r="F78" s="13">
        <v>204</v>
      </c>
      <c r="G78" s="12"/>
      <c r="H78" s="12"/>
      <c r="I78" s="12"/>
      <c r="J78" s="12"/>
      <c r="K78" s="12"/>
    </row>
    <row r="79" spans="1:11" x14ac:dyDescent="0.25">
      <c r="A79" s="13">
        <v>78</v>
      </c>
      <c r="B79" s="13" t="s">
        <v>32</v>
      </c>
      <c r="C79" s="13" t="s">
        <v>151</v>
      </c>
      <c r="D79" s="13" t="s">
        <v>151</v>
      </c>
      <c r="E79" s="13">
        <v>139639</v>
      </c>
      <c r="F79" s="13">
        <v>498</v>
      </c>
      <c r="G79" s="12"/>
      <c r="H79" s="12"/>
      <c r="I79" s="12"/>
      <c r="J79" s="12"/>
      <c r="K79" s="12"/>
    </row>
    <row r="80" spans="1:11" x14ac:dyDescent="0.25">
      <c r="A80" s="13">
        <v>79</v>
      </c>
      <c r="B80" s="13" t="s">
        <v>23</v>
      </c>
      <c r="C80" s="13" t="s">
        <v>193</v>
      </c>
      <c r="D80" s="13" t="s">
        <v>153</v>
      </c>
      <c r="E80" s="13">
        <v>541522</v>
      </c>
      <c r="F80" s="13">
        <v>1509</v>
      </c>
      <c r="G80" s="12"/>
      <c r="H80" s="12"/>
      <c r="I80" s="12"/>
      <c r="J80" s="12"/>
      <c r="K80" s="12"/>
    </row>
    <row r="81" spans="1:11" x14ac:dyDescent="0.25">
      <c r="A81" s="13">
        <v>80</v>
      </c>
      <c r="B81" s="13" t="s">
        <v>32</v>
      </c>
      <c r="C81" s="13" t="s">
        <v>154</v>
      </c>
      <c r="D81" s="13" t="s">
        <v>154</v>
      </c>
      <c r="E81" s="13">
        <v>53917</v>
      </c>
      <c r="F81" s="13">
        <v>100</v>
      </c>
      <c r="G81" s="12"/>
      <c r="H81" s="12"/>
      <c r="I81" s="12"/>
      <c r="J81" s="12"/>
      <c r="K81" s="12"/>
    </row>
    <row r="82" spans="1:11" x14ac:dyDescent="0.25">
      <c r="A82" s="13">
        <v>81</v>
      </c>
      <c r="B82" s="13" t="s">
        <v>23</v>
      </c>
      <c r="C82" s="13" t="s">
        <v>194</v>
      </c>
      <c r="D82" s="13" t="s">
        <v>156</v>
      </c>
      <c r="E82" s="13">
        <v>780874</v>
      </c>
      <c r="F82" s="13">
        <v>2416</v>
      </c>
      <c r="G82" s="12"/>
      <c r="H82" s="12"/>
      <c r="I82" s="12"/>
      <c r="J82" s="12"/>
      <c r="K82" s="12"/>
    </row>
    <row r="83" spans="1:11" x14ac:dyDescent="0.25">
      <c r="A83" s="13">
        <v>82</v>
      </c>
      <c r="B83" s="13" t="s">
        <v>32</v>
      </c>
      <c r="C83" s="13" t="s">
        <v>157</v>
      </c>
      <c r="D83" s="13" t="s">
        <v>157</v>
      </c>
      <c r="E83" s="13">
        <v>171656</v>
      </c>
      <c r="F83" s="13">
        <v>338</v>
      </c>
      <c r="G83" s="12"/>
      <c r="H83" s="12"/>
      <c r="I83" s="12"/>
      <c r="J83" s="12"/>
      <c r="K83" s="12"/>
    </row>
    <row r="84" spans="1:11" x14ac:dyDescent="0.25">
      <c r="A84" s="13">
        <v>83</v>
      </c>
      <c r="B84" s="13" t="s">
        <v>23</v>
      </c>
      <c r="C84" s="13" t="s">
        <v>158</v>
      </c>
      <c r="D84" s="13" t="s">
        <v>159</v>
      </c>
      <c r="E84" s="13">
        <v>53921</v>
      </c>
      <c r="F84" s="13">
        <v>146</v>
      </c>
      <c r="G84" s="12"/>
      <c r="H84" s="12"/>
      <c r="I84" s="12"/>
      <c r="J84" s="12"/>
      <c r="K84" s="12"/>
    </row>
    <row r="85" spans="1:11" x14ac:dyDescent="0.25">
      <c r="A85" s="13">
        <v>84</v>
      </c>
      <c r="B85" s="13" t="s">
        <v>23</v>
      </c>
      <c r="C85" s="13" t="s">
        <v>160</v>
      </c>
      <c r="D85" s="13" t="s">
        <v>161</v>
      </c>
      <c r="E85" s="13">
        <v>312035</v>
      </c>
      <c r="F85" s="13">
        <v>867</v>
      </c>
      <c r="G85" s="12"/>
      <c r="H85" s="12"/>
      <c r="I85" s="12"/>
      <c r="J85" s="12"/>
      <c r="K85" s="12"/>
    </row>
    <row r="86" spans="1:11" x14ac:dyDescent="0.25">
      <c r="A86" s="13">
        <v>85</v>
      </c>
      <c r="B86" s="13" t="s">
        <v>32</v>
      </c>
      <c r="C86" s="13" t="s">
        <v>162</v>
      </c>
      <c r="D86" s="13" t="s">
        <v>162</v>
      </c>
      <c r="E86" s="13">
        <v>118142</v>
      </c>
      <c r="F86" s="13">
        <v>237</v>
      </c>
      <c r="G86" s="12"/>
      <c r="H86" s="12"/>
      <c r="I86" s="12"/>
      <c r="J86" s="12"/>
      <c r="K86" s="12"/>
    </row>
    <row r="87" spans="1:11" x14ac:dyDescent="0.25">
      <c r="A87" s="13">
        <v>86</v>
      </c>
      <c r="B87" s="13" t="s">
        <v>32</v>
      </c>
      <c r="C87" s="13" t="s">
        <v>163</v>
      </c>
      <c r="D87" s="13" t="s">
        <v>163</v>
      </c>
      <c r="E87" s="13">
        <v>140172</v>
      </c>
      <c r="F87" s="13">
        <v>440</v>
      </c>
      <c r="G87" s="12"/>
      <c r="H87" s="12"/>
      <c r="I87" s="12"/>
      <c r="J87" s="12"/>
      <c r="K87" s="12"/>
    </row>
    <row r="88" spans="1:11" x14ac:dyDescent="0.25">
      <c r="A88" s="13">
        <v>87</v>
      </c>
      <c r="B88" s="13" t="s">
        <v>32</v>
      </c>
      <c r="C88" s="13" t="s">
        <v>164</v>
      </c>
      <c r="D88" s="13" t="s">
        <v>164</v>
      </c>
      <c r="E88" s="13">
        <v>59896</v>
      </c>
      <c r="F88" s="13">
        <v>163</v>
      </c>
      <c r="G88" s="12"/>
      <c r="H88" s="12"/>
      <c r="I88" s="12"/>
      <c r="J88" s="12"/>
      <c r="K88" s="12"/>
    </row>
    <row r="89" spans="1:11" x14ac:dyDescent="0.25">
      <c r="A89" s="13">
        <v>88</v>
      </c>
      <c r="B89" s="13" t="s">
        <v>32</v>
      </c>
      <c r="C89" s="13" t="s">
        <v>165</v>
      </c>
      <c r="D89" s="13" t="s">
        <v>165</v>
      </c>
      <c r="E89" s="13">
        <v>21312</v>
      </c>
      <c r="F89" s="13">
        <v>47</v>
      </c>
      <c r="G89" s="12"/>
      <c r="H89" s="12"/>
      <c r="I89" s="12"/>
      <c r="J89" s="12"/>
      <c r="K89" s="12"/>
    </row>
    <row r="90" spans="1:11" x14ac:dyDescent="0.25">
      <c r="A90" s="13">
        <v>89</v>
      </c>
      <c r="B90" s="13" t="s">
        <v>32</v>
      </c>
      <c r="C90" s="13" t="s">
        <v>166</v>
      </c>
      <c r="D90" s="13" t="s">
        <v>166</v>
      </c>
      <c r="E90" s="13">
        <v>223286</v>
      </c>
      <c r="F90" s="13">
        <v>404</v>
      </c>
      <c r="G90" s="12"/>
      <c r="H90" s="12"/>
      <c r="I90" s="12"/>
      <c r="J90" s="12"/>
      <c r="K90" s="12"/>
    </row>
    <row r="91" spans="1:11" x14ac:dyDescent="0.25">
      <c r="A91" s="13">
        <v>90</v>
      </c>
      <c r="B91" s="13" t="s">
        <v>23</v>
      </c>
      <c r="C91" s="13" t="s">
        <v>167</v>
      </c>
      <c r="D91" s="13" t="s">
        <v>168</v>
      </c>
      <c r="E91" s="13">
        <v>246159</v>
      </c>
      <c r="F91" s="13">
        <v>769</v>
      </c>
      <c r="G91" s="12"/>
      <c r="H91" s="12"/>
      <c r="I91" s="12"/>
      <c r="J91" s="12"/>
      <c r="K91" s="12"/>
    </row>
    <row r="92" spans="1:11" x14ac:dyDescent="0.25">
      <c r="A92" s="13">
        <v>91</v>
      </c>
      <c r="B92" s="13" t="s">
        <v>23</v>
      </c>
      <c r="C92" s="13" t="s">
        <v>169</v>
      </c>
      <c r="D92" s="13" t="s">
        <v>170</v>
      </c>
      <c r="E92" s="13">
        <v>190941</v>
      </c>
      <c r="F92" s="13">
        <v>622</v>
      </c>
      <c r="G92" s="12"/>
      <c r="H92" s="12"/>
      <c r="I92" s="12"/>
      <c r="J92" s="12"/>
      <c r="K92" s="12"/>
    </row>
    <row r="93" spans="1:11" x14ac:dyDescent="0.25">
      <c r="A93" s="13">
        <v>92</v>
      </c>
      <c r="B93" s="13" t="s">
        <v>23</v>
      </c>
      <c r="C93" s="13" t="s">
        <v>195</v>
      </c>
      <c r="D93" s="13" t="s">
        <v>171</v>
      </c>
      <c r="E93" s="13">
        <v>28069</v>
      </c>
      <c r="F93" s="13">
        <v>139</v>
      </c>
      <c r="G93" s="12"/>
      <c r="H93" s="12"/>
      <c r="I93" s="12"/>
      <c r="J93" s="12"/>
      <c r="K93" s="12"/>
    </row>
    <row r="94" spans="1:11" x14ac:dyDescent="0.25">
      <c r="A94" s="13">
        <v>93</v>
      </c>
      <c r="B94" s="13" t="s">
        <v>23</v>
      </c>
      <c r="C94" s="13" t="s">
        <v>172</v>
      </c>
      <c r="D94" s="13" t="s">
        <v>173</v>
      </c>
      <c r="E94" s="13">
        <v>94642</v>
      </c>
      <c r="F94" s="13">
        <v>284</v>
      </c>
      <c r="G94" s="12"/>
      <c r="H94" s="12"/>
      <c r="I94" s="12"/>
      <c r="J94" s="12"/>
      <c r="K94" s="12"/>
    </row>
    <row r="95" spans="1:11" x14ac:dyDescent="0.25">
      <c r="A95" s="13">
        <v>94</v>
      </c>
      <c r="B95" s="13" t="s">
        <v>23</v>
      </c>
      <c r="C95" s="13" t="s">
        <v>174</v>
      </c>
      <c r="D95" s="13" t="s">
        <v>175</v>
      </c>
      <c r="E95" s="13">
        <v>24326</v>
      </c>
      <c r="F95" s="13">
        <v>75</v>
      </c>
      <c r="G95" s="12"/>
      <c r="H95" s="12"/>
      <c r="I95" s="12"/>
      <c r="J95" s="12"/>
      <c r="K95" s="12"/>
    </row>
    <row r="96" spans="1:11" x14ac:dyDescent="0.25">
      <c r="A96" s="13">
        <v>95</v>
      </c>
      <c r="B96" s="13" t="s">
        <v>23</v>
      </c>
      <c r="C96" s="13" t="s">
        <v>196</v>
      </c>
      <c r="D96" s="13" t="s">
        <v>176</v>
      </c>
      <c r="E96" s="13">
        <v>82674</v>
      </c>
      <c r="F96" s="13">
        <v>307</v>
      </c>
      <c r="G96" s="12"/>
      <c r="H96" s="12"/>
      <c r="I96" s="12"/>
      <c r="J96" s="12"/>
      <c r="K96" s="12"/>
    </row>
    <row r="97" spans="1:11" x14ac:dyDescent="0.25">
      <c r="A97" s="13">
        <v>96</v>
      </c>
      <c r="B97" s="13" t="s">
        <v>23</v>
      </c>
      <c r="C97" s="13" t="s">
        <v>197</v>
      </c>
      <c r="D97" s="13" t="s">
        <v>177</v>
      </c>
      <c r="E97" s="13">
        <v>276609</v>
      </c>
      <c r="F97" s="13">
        <v>848</v>
      </c>
      <c r="G97" s="12"/>
      <c r="H97" s="12"/>
      <c r="I97" s="12"/>
      <c r="J97" s="12"/>
      <c r="K97" s="12"/>
    </row>
    <row r="98" spans="1:11" x14ac:dyDescent="0.25">
      <c r="A98" s="13">
        <v>97</v>
      </c>
      <c r="B98" s="13" t="s">
        <v>32</v>
      </c>
      <c r="C98" s="13" t="s">
        <v>179</v>
      </c>
      <c r="D98" s="13" t="s">
        <v>179</v>
      </c>
      <c r="E98" s="13">
        <v>415511</v>
      </c>
      <c r="F98" s="13">
        <v>973</v>
      </c>
      <c r="G98" s="12"/>
      <c r="H98" s="12"/>
      <c r="I98" s="12"/>
      <c r="J98" s="12"/>
      <c r="K98" s="12"/>
    </row>
    <row r="99" spans="1:11" x14ac:dyDescent="0.25">
      <c r="A99" s="13">
        <v>98</v>
      </c>
      <c r="B99" s="13" t="s">
        <v>23</v>
      </c>
      <c r="C99" s="13" t="s">
        <v>198</v>
      </c>
      <c r="D99" s="13" t="s">
        <v>180</v>
      </c>
      <c r="E99" s="13">
        <v>208143</v>
      </c>
      <c r="F99" s="13">
        <v>692</v>
      </c>
      <c r="G99" s="12"/>
      <c r="H99" s="12"/>
      <c r="I99" s="12"/>
      <c r="J99" s="12"/>
      <c r="K99" s="12"/>
    </row>
    <row r="100" spans="1:11" x14ac:dyDescent="0.25">
      <c r="A100" s="13">
        <v>99</v>
      </c>
      <c r="B100" s="13" t="s">
        <v>32</v>
      </c>
      <c r="C100" s="13" t="s">
        <v>159</v>
      </c>
      <c r="D100" s="13" t="s">
        <v>159</v>
      </c>
      <c r="E100" s="13">
        <v>61835</v>
      </c>
      <c r="F100" s="13">
        <v>234</v>
      </c>
      <c r="G100" s="12"/>
      <c r="H100" s="12"/>
      <c r="I100" s="12"/>
      <c r="J100" s="12"/>
      <c r="K100" s="12"/>
    </row>
    <row r="101" spans="1:11" x14ac:dyDescent="0.25">
      <c r="A101" s="13">
        <v>100</v>
      </c>
      <c r="B101" s="13" t="s">
        <v>23</v>
      </c>
      <c r="C101" s="13" t="s">
        <v>149</v>
      </c>
      <c r="D101" s="13" t="s">
        <v>150</v>
      </c>
      <c r="E101" s="13">
        <v>28939</v>
      </c>
      <c r="F101" s="13">
        <v>113</v>
      </c>
      <c r="G101" s="12"/>
      <c r="H101" s="12"/>
      <c r="I101" s="12"/>
      <c r="J101" s="12"/>
      <c r="K101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zoomScaleNormal="100" workbookViewId="0">
      <pane ySplit="1" topLeftCell="A2" activePane="bottomLeft" state="frozen"/>
      <selection pane="bottomLeft" activeCell="H2" sqref="H2:I8"/>
    </sheetView>
  </sheetViews>
  <sheetFormatPr defaultColWidth="8.7109375" defaultRowHeight="15" x14ac:dyDescent="0.25"/>
  <cols>
    <col min="1" max="1" width="6" customWidth="1"/>
    <col min="2" max="2" width="9" customWidth="1"/>
    <col min="3" max="3" width="14" customWidth="1"/>
    <col min="4" max="4" width="17" bestFit="1" customWidth="1"/>
    <col min="5" max="5" width="18.140625" bestFit="1" customWidth="1"/>
    <col min="6" max="6" width="11.140625" customWidth="1"/>
    <col min="8" max="8" width="18" customWidth="1"/>
    <col min="9" max="9" width="12.7109375" bestFit="1" customWidth="1"/>
  </cols>
  <sheetData>
    <row r="1" spans="1:1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12"/>
      <c r="H1" s="12"/>
      <c r="I1" s="12"/>
      <c r="J1" s="12"/>
      <c r="K1" s="12"/>
    </row>
    <row r="2" spans="1:11" x14ac:dyDescent="0.25">
      <c r="A2" s="13">
        <v>1</v>
      </c>
      <c r="B2" s="13" t="s">
        <v>23</v>
      </c>
      <c r="C2" s="13" t="s">
        <v>24</v>
      </c>
      <c r="D2" s="13" t="s">
        <v>25</v>
      </c>
      <c r="E2" s="13">
        <v>41059</v>
      </c>
      <c r="F2" s="13">
        <v>126</v>
      </c>
      <c r="G2" s="12"/>
      <c r="H2" s="12" t="s">
        <v>28</v>
      </c>
      <c r="I2" s="12"/>
      <c r="J2" s="12"/>
      <c r="K2" s="12"/>
    </row>
    <row r="3" spans="1:11" x14ac:dyDescent="0.25">
      <c r="A3" s="13">
        <v>2</v>
      </c>
      <c r="B3" s="13" t="s">
        <v>32</v>
      </c>
      <c r="C3" s="13" t="s">
        <v>27</v>
      </c>
      <c r="D3" s="13" t="s">
        <v>27</v>
      </c>
      <c r="E3" s="13">
        <v>196594</v>
      </c>
      <c r="F3" s="13">
        <v>562</v>
      </c>
      <c r="G3" s="12"/>
      <c r="H3" s="9" t="s">
        <v>31</v>
      </c>
      <c r="I3" s="16">
        <v>100</v>
      </c>
      <c r="J3" s="12"/>
      <c r="K3" s="12"/>
    </row>
    <row r="4" spans="1:11" x14ac:dyDescent="0.25">
      <c r="A4" s="13">
        <v>3</v>
      </c>
      <c r="B4" s="13" t="s">
        <v>23</v>
      </c>
      <c r="C4" s="13" t="s">
        <v>123</v>
      </c>
      <c r="D4" s="13" t="s">
        <v>30</v>
      </c>
      <c r="E4" s="13">
        <v>330495</v>
      </c>
      <c r="F4" s="13">
        <v>1062</v>
      </c>
      <c r="G4" s="12"/>
      <c r="H4" s="15" t="s">
        <v>34</v>
      </c>
      <c r="I4" s="16">
        <f>COUNTIF(B2:B101,"PASS")</f>
        <v>40</v>
      </c>
      <c r="J4" s="12"/>
      <c r="K4" s="12"/>
    </row>
    <row r="5" spans="1:11" x14ac:dyDescent="0.25">
      <c r="A5" s="13">
        <v>4</v>
      </c>
      <c r="B5" s="13" t="s">
        <v>32</v>
      </c>
      <c r="C5" s="13" t="s">
        <v>33</v>
      </c>
      <c r="D5" s="13" t="s">
        <v>33</v>
      </c>
      <c r="E5" s="13">
        <v>385781</v>
      </c>
      <c r="F5" s="13">
        <v>622</v>
      </c>
      <c r="G5" s="12"/>
      <c r="H5" s="15" t="s">
        <v>2</v>
      </c>
      <c r="I5" s="16">
        <f>I4/I3</f>
        <v>0.4</v>
      </c>
      <c r="J5" s="12"/>
      <c r="K5" s="12"/>
    </row>
    <row r="6" spans="1:11" x14ac:dyDescent="0.25">
      <c r="A6" s="13">
        <v>5</v>
      </c>
      <c r="B6" s="13" t="s">
        <v>23</v>
      </c>
      <c r="C6" s="13" t="s">
        <v>132</v>
      </c>
      <c r="D6" s="13" t="s">
        <v>36</v>
      </c>
      <c r="E6" s="13">
        <v>305212</v>
      </c>
      <c r="F6" s="13">
        <v>294</v>
      </c>
      <c r="G6" s="12"/>
      <c r="H6" s="15" t="s">
        <v>3</v>
      </c>
      <c r="I6" s="17">
        <f>SUM(E2:E101)</f>
        <v>16776130</v>
      </c>
      <c r="J6" s="12"/>
      <c r="K6" s="12"/>
    </row>
    <row r="7" spans="1:11" x14ac:dyDescent="0.25">
      <c r="A7" s="13">
        <v>6</v>
      </c>
      <c r="B7" s="13" t="s">
        <v>23</v>
      </c>
      <c r="C7" s="13" t="s">
        <v>181</v>
      </c>
      <c r="D7" s="13" t="s">
        <v>38</v>
      </c>
      <c r="E7" s="13">
        <v>50256</v>
      </c>
      <c r="F7" s="13">
        <v>146</v>
      </c>
      <c r="G7" s="12"/>
      <c r="H7" s="15" t="s">
        <v>41</v>
      </c>
      <c r="I7" s="16">
        <f>SUM(F2:F101)</f>
        <v>76041</v>
      </c>
      <c r="J7" s="12"/>
      <c r="K7" s="12"/>
    </row>
    <row r="8" spans="1:11" x14ac:dyDescent="0.25">
      <c r="A8" s="13">
        <v>7</v>
      </c>
      <c r="B8" s="13" t="s">
        <v>23</v>
      </c>
      <c r="C8" s="13" t="s">
        <v>39</v>
      </c>
      <c r="D8" s="13" t="s">
        <v>40</v>
      </c>
      <c r="E8" s="13">
        <v>568150</v>
      </c>
      <c r="F8" s="13">
        <v>2278</v>
      </c>
      <c r="G8" s="12"/>
      <c r="H8" s="15" t="s">
        <v>5</v>
      </c>
      <c r="I8" s="16">
        <f>I6/I3</f>
        <v>167761.29999999999</v>
      </c>
      <c r="J8" s="12"/>
      <c r="K8" s="12"/>
    </row>
    <row r="9" spans="1:11" x14ac:dyDescent="0.25">
      <c r="A9" s="13">
        <v>8</v>
      </c>
      <c r="B9" s="13" t="s">
        <v>23</v>
      </c>
      <c r="C9" s="13" t="s">
        <v>199</v>
      </c>
      <c r="D9" s="13" t="s">
        <v>42</v>
      </c>
      <c r="E9" s="13">
        <v>181265</v>
      </c>
      <c r="F9" s="13">
        <v>587</v>
      </c>
      <c r="G9" s="12"/>
      <c r="H9" s="15"/>
      <c r="I9" s="14"/>
      <c r="J9" s="12"/>
      <c r="K9" s="12"/>
    </row>
    <row r="10" spans="1:11" x14ac:dyDescent="0.25">
      <c r="A10" s="13">
        <v>9</v>
      </c>
      <c r="B10" s="13" t="s">
        <v>23</v>
      </c>
      <c r="C10" s="13" t="s">
        <v>43</v>
      </c>
      <c r="D10" s="13" t="s">
        <v>44</v>
      </c>
      <c r="E10" s="13">
        <v>159547</v>
      </c>
      <c r="F10" s="13">
        <v>1067</v>
      </c>
      <c r="G10" s="12"/>
      <c r="H10" s="12"/>
      <c r="I10" s="12"/>
      <c r="J10" s="12"/>
      <c r="K10" s="12"/>
    </row>
    <row r="11" spans="1:11" x14ac:dyDescent="0.25">
      <c r="A11" s="13">
        <v>10</v>
      </c>
      <c r="B11" s="13" t="s">
        <v>32</v>
      </c>
      <c r="C11" s="13" t="s">
        <v>45</v>
      </c>
      <c r="D11" s="13" t="s">
        <v>45</v>
      </c>
      <c r="E11" s="13">
        <v>20151</v>
      </c>
      <c r="F11" s="13">
        <v>96</v>
      </c>
      <c r="G11" s="12"/>
      <c r="H11" s="12"/>
      <c r="I11" s="12"/>
      <c r="J11" s="12"/>
      <c r="K11" s="12"/>
    </row>
    <row r="12" spans="1:11" x14ac:dyDescent="0.25">
      <c r="A12" s="13">
        <v>11</v>
      </c>
      <c r="B12" s="13" t="s">
        <v>32</v>
      </c>
      <c r="C12" s="13" t="s">
        <v>46</v>
      </c>
      <c r="D12" s="13" t="s">
        <v>46</v>
      </c>
      <c r="E12" s="13">
        <v>52429</v>
      </c>
      <c r="F12" s="13">
        <v>151</v>
      </c>
      <c r="G12" s="12"/>
      <c r="H12" s="12"/>
      <c r="I12" s="12"/>
      <c r="J12" s="12"/>
      <c r="K12" s="12"/>
    </row>
    <row r="13" spans="1:11" x14ac:dyDescent="0.25">
      <c r="A13" s="13">
        <v>12</v>
      </c>
      <c r="B13" s="13" t="s">
        <v>32</v>
      </c>
      <c r="C13" s="13" t="s">
        <v>47</v>
      </c>
      <c r="D13" s="13" t="s">
        <v>47</v>
      </c>
      <c r="E13" s="13">
        <v>95213</v>
      </c>
      <c r="F13" s="13">
        <v>461</v>
      </c>
      <c r="G13" s="12"/>
      <c r="H13" s="12"/>
      <c r="I13" s="12"/>
      <c r="J13" s="12"/>
      <c r="K13" s="12"/>
    </row>
    <row r="14" spans="1:11" x14ac:dyDescent="0.25">
      <c r="A14" s="13">
        <v>13</v>
      </c>
      <c r="B14" s="13" t="s">
        <v>23</v>
      </c>
      <c r="C14" s="13" t="s">
        <v>200</v>
      </c>
      <c r="D14" s="13" t="s">
        <v>49</v>
      </c>
      <c r="E14" s="13">
        <v>16921</v>
      </c>
      <c r="F14" s="13">
        <v>74</v>
      </c>
      <c r="G14" s="12"/>
      <c r="H14" s="12"/>
      <c r="I14" s="12"/>
      <c r="J14" s="12"/>
      <c r="K14" s="12"/>
    </row>
    <row r="15" spans="1:11" x14ac:dyDescent="0.25">
      <c r="A15" s="13">
        <v>14</v>
      </c>
      <c r="B15" s="13" t="s">
        <v>32</v>
      </c>
      <c r="C15" s="13" t="s">
        <v>50</v>
      </c>
      <c r="D15" s="13" t="s">
        <v>51</v>
      </c>
      <c r="E15" s="13">
        <v>9219</v>
      </c>
      <c r="F15" s="13">
        <v>42</v>
      </c>
      <c r="G15" s="12"/>
      <c r="H15" s="12"/>
      <c r="I15" s="12"/>
      <c r="J15" s="12"/>
      <c r="K15" s="12"/>
    </row>
    <row r="16" spans="1:11" x14ac:dyDescent="0.25">
      <c r="A16" s="13">
        <v>15</v>
      </c>
      <c r="B16" s="13" t="s">
        <v>32</v>
      </c>
      <c r="C16" s="13" t="s">
        <v>52</v>
      </c>
      <c r="D16" s="13" t="s">
        <v>52</v>
      </c>
      <c r="E16" s="13">
        <v>280225</v>
      </c>
      <c r="F16" s="13">
        <v>1351</v>
      </c>
      <c r="G16" s="12"/>
      <c r="H16" s="12"/>
      <c r="I16" s="12"/>
      <c r="J16" s="12"/>
      <c r="K16" s="12"/>
    </row>
    <row r="17" spans="1:11" x14ac:dyDescent="0.25">
      <c r="A17" s="13">
        <v>16</v>
      </c>
      <c r="B17" s="13" t="s">
        <v>32</v>
      </c>
      <c r="C17" s="13" t="s">
        <v>54</v>
      </c>
      <c r="D17" s="13" t="s">
        <v>54</v>
      </c>
      <c r="E17" s="13">
        <v>306726</v>
      </c>
      <c r="F17" s="13">
        <v>1360</v>
      </c>
      <c r="G17" s="12"/>
      <c r="H17" s="12"/>
      <c r="I17" s="12"/>
      <c r="J17" s="12"/>
      <c r="K17" s="12"/>
    </row>
    <row r="18" spans="1:11" x14ac:dyDescent="0.25">
      <c r="A18" s="13">
        <v>17</v>
      </c>
      <c r="B18" s="13" t="s">
        <v>23</v>
      </c>
      <c r="C18" s="13" t="s">
        <v>55</v>
      </c>
      <c r="D18" s="13" t="s">
        <v>56</v>
      </c>
      <c r="E18" s="13">
        <v>125156</v>
      </c>
      <c r="F18" s="13">
        <v>706</v>
      </c>
      <c r="G18" s="12"/>
      <c r="H18" s="12"/>
      <c r="I18" s="12"/>
      <c r="J18" s="12"/>
      <c r="K18" s="12"/>
    </row>
    <row r="19" spans="1:11" x14ac:dyDescent="0.25">
      <c r="A19" s="13">
        <v>18</v>
      </c>
      <c r="B19" s="13" t="s">
        <v>32</v>
      </c>
      <c r="C19" s="13" t="s">
        <v>58</v>
      </c>
      <c r="D19" s="13" t="s">
        <v>58</v>
      </c>
      <c r="E19" s="13">
        <v>160583</v>
      </c>
      <c r="F19" s="13">
        <v>855</v>
      </c>
      <c r="G19" s="12"/>
      <c r="H19" s="12"/>
      <c r="I19" s="12"/>
      <c r="J19" s="12"/>
      <c r="K19" s="12"/>
    </row>
    <row r="20" spans="1:11" x14ac:dyDescent="0.25">
      <c r="A20" s="13">
        <v>19</v>
      </c>
      <c r="B20" s="13" t="s">
        <v>23</v>
      </c>
      <c r="C20" s="13" t="s">
        <v>182</v>
      </c>
      <c r="D20" s="13" t="s">
        <v>59</v>
      </c>
      <c r="E20" s="13">
        <v>152232</v>
      </c>
      <c r="F20" s="13">
        <v>449</v>
      </c>
      <c r="G20" s="12"/>
      <c r="H20" s="12"/>
      <c r="I20" s="12"/>
      <c r="J20" s="12"/>
      <c r="K20" s="12"/>
    </row>
    <row r="21" spans="1:11" x14ac:dyDescent="0.25">
      <c r="A21" s="13">
        <v>20</v>
      </c>
      <c r="B21" s="13" t="s">
        <v>23</v>
      </c>
      <c r="C21" s="13" t="s">
        <v>60</v>
      </c>
      <c r="D21" s="13" t="s">
        <v>61</v>
      </c>
      <c r="E21" s="13">
        <v>6225</v>
      </c>
      <c r="F21" s="13">
        <v>32</v>
      </c>
      <c r="G21" s="12"/>
      <c r="H21" s="12"/>
      <c r="I21" s="12"/>
      <c r="J21" s="12"/>
      <c r="K21" s="12"/>
    </row>
    <row r="22" spans="1:11" x14ac:dyDescent="0.25">
      <c r="A22" s="13">
        <v>21</v>
      </c>
      <c r="B22" s="13" t="s">
        <v>23</v>
      </c>
      <c r="C22" s="13" t="s">
        <v>183</v>
      </c>
      <c r="D22" s="13" t="s">
        <v>63</v>
      </c>
      <c r="E22" s="13">
        <v>94479</v>
      </c>
      <c r="F22" s="13">
        <v>587</v>
      </c>
      <c r="G22" s="12"/>
      <c r="H22" s="12"/>
      <c r="I22" s="12"/>
      <c r="J22" s="12"/>
      <c r="K22" s="12"/>
    </row>
    <row r="23" spans="1:11" x14ac:dyDescent="0.25">
      <c r="A23" s="13">
        <v>22</v>
      </c>
      <c r="B23" s="13" t="s">
        <v>23</v>
      </c>
      <c r="C23" s="13" t="s">
        <v>64</v>
      </c>
      <c r="D23" s="13" t="s">
        <v>65</v>
      </c>
      <c r="E23" s="13">
        <v>8157</v>
      </c>
      <c r="F23" s="13">
        <v>71</v>
      </c>
      <c r="G23" s="12"/>
      <c r="H23" s="12"/>
      <c r="I23" s="12"/>
      <c r="J23" s="12"/>
      <c r="K23" s="12"/>
    </row>
    <row r="24" spans="1:11" x14ac:dyDescent="0.25">
      <c r="A24" s="13">
        <v>23</v>
      </c>
      <c r="B24" s="13" t="s">
        <v>32</v>
      </c>
      <c r="C24" s="13" t="s">
        <v>67</v>
      </c>
      <c r="D24" s="13" t="s">
        <v>67</v>
      </c>
      <c r="E24" s="13">
        <v>7560</v>
      </c>
      <c r="F24" s="13">
        <v>21</v>
      </c>
      <c r="G24" s="12"/>
      <c r="H24" s="12"/>
      <c r="I24" s="12"/>
      <c r="J24" s="12"/>
      <c r="K24" s="12"/>
    </row>
    <row r="25" spans="1:11" x14ac:dyDescent="0.25">
      <c r="A25" s="13">
        <v>24</v>
      </c>
      <c r="B25" s="13" t="s">
        <v>23</v>
      </c>
      <c r="C25" s="13" t="s">
        <v>68</v>
      </c>
      <c r="D25" s="13" t="s">
        <v>69</v>
      </c>
      <c r="E25" s="13">
        <v>113866</v>
      </c>
      <c r="F25" s="13">
        <v>736</v>
      </c>
      <c r="G25" s="12"/>
      <c r="H25" s="12"/>
      <c r="I25" s="12"/>
      <c r="J25" s="12"/>
      <c r="K25" s="12"/>
    </row>
    <row r="26" spans="1:11" x14ac:dyDescent="0.25">
      <c r="A26" s="13">
        <v>25</v>
      </c>
      <c r="B26" s="13" t="s">
        <v>32</v>
      </c>
      <c r="C26" s="13" t="s">
        <v>70</v>
      </c>
      <c r="D26" s="13" t="s">
        <v>70</v>
      </c>
      <c r="E26" s="13">
        <v>64745</v>
      </c>
      <c r="F26" s="13">
        <v>249</v>
      </c>
      <c r="G26" s="12"/>
      <c r="H26" s="12"/>
      <c r="I26" s="12"/>
      <c r="J26" s="12"/>
      <c r="K26" s="12"/>
    </row>
    <row r="27" spans="1:11" x14ac:dyDescent="0.25">
      <c r="A27" s="13">
        <v>26</v>
      </c>
      <c r="B27" s="13" t="s">
        <v>23</v>
      </c>
      <c r="C27" s="13" t="s">
        <v>71</v>
      </c>
      <c r="D27" s="13" t="s">
        <v>72</v>
      </c>
      <c r="E27" s="13">
        <v>131977</v>
      </c>
      <c r="F27" s="13">
        <v>561</v>
      </c>
      <c r="G27" s="12"/>
      <c r="H27" s="12"/>
      <c r="I27" s="12"/>
      <c r="J27" s="12"/>
      <c r="K27" s="12"/>
    </row>
    <row r="28" spans="1:11" x14ac:dyDescent="0.25">
      <c r="A28" s="13">
        <v>27</v>
      </c>
      <c r="B28" s="13" t="s">
        <v>23</v>
      </c>
      <c r="C28" s="13" t="s">
        <v>73</v>
      </c>
      <c r="D28" s="13" t="s">
        <v>74</v>
      </c>
      <c r="E28" s="13">
        <v>33126</v>
      </c>
      <c r="F28" s="13">
        <v>216</v>
      </c>
      <c r="G28" s="12"/>
      <c r="H28" s="12"/>
      <c r="I28" s="12"/>
      <c r="J28" s="12"/>
      <c r="K28" s="12"/>
    </row>
    <row r="29" spans="1:11" x14ac:dyDescent="0.25">
      <c r="A29" s="13">
        <v>28</v>
      </c>
      <c r="B29" s="13" t="s">
        <v>23</v>
      </c>
      <c r="C29" s="13" t="s">
        <v>184</v>
      </c>
      <c r="D29" s="13" t="s">
        <v>76</v>
      </c>
      <c r="E29" s="13">
        <v>199270</v>
      </c>
      <c r="F29" s="13">
        <v>1006</v>
      </c>
      <c r="G29" s="12"/>
      <c r="H29" s="12"/>
      <c r="I29" s="12"/>
      <c r="J29" s="12"/>
      <c r="K29" s="12"/>
    </row>
    <row r="30" spans="1:11" x14ac:dyDescent="0.25">
      <c r="A30" s="13">
        <v>29</v>
      </c>
      <c r="B30" s="13" t="s">
        <v>23</v>
      </c>
      <c r="C30" s="13" t="s">
        <v>77</v>
      </c>
      <c r="D30" s="13" t="s">
        <v>78</v>
      </c>
      <c r="E30" s="13">
        <v>330851</v>
      </c>
      <c r="F30" s="13">
        <v>1869</v>
      </c>
      <c r="G30" s="12"/>
      <c r="H30" s="12"/>
      <c r="I30" s="12"/>
      <c r="J30" s="12"/>
      <c r="K30" s="12"/>
    </row>
    <row r="31" spans="1:11" x14ac:dyDescent="0.25">
      <c r="A31" s="13">
        <v>30</v>
      </c>
      <c r="B31" s="13" t="s">
        <v>23</v>
      </c>
      <c r="C31" s="13" t="s">
        <v>122</v>
      </c>
      <c r="D31" s="13" t="s">
        <v>79</v>
      </c>
      <c r="E31" s="13">
        <v>375024</v>
      </c>
      <c r="F31" s="13">
        <v>2056</v>
      </c>
      <c r="G31" s="12"/>
      <c r="H31" s="12"/>
      <c r="I31" s="12"/>
      <c r="J31" s="12"/>
      <c r="K31" s="12"/>
    </row>
    <row r="32" spans="1:11" x14ac:dyDescent="0.25">
      <c r="A32" s="13">
        <v>31</v>
      </c>
      <c r="B32" s="13" t="s">
        <v>32</v>
      </c>
      <c r="C32" s="13" t="s">
        <v>80</v>
      </c>
      <c r="D32" s="13" t="s">
        <v>80</v>
      </c>
      <c r="E32" s="13">
        <v>12975</v>
      </c>
      <c r="F32" s="13">
        <v>57</v>
      </c>
      <c r="G32" s="12"/>
      <c r="H32" s="12"/>
      <c r="I32" s="12"/>
      <c r="J32" s="12"/>
      <c r="K32" s="12"/>
    </row>
    <row r="33" spans="1:11" x14ac:dyDescent="0.25">
      <c r="A33" s="13">
        <v>32</v>
      </c>
      <c r="B33" s="13" t="s">
        <v>32</v>
      </c>
      <c r="C33" s="13" t="s">
        <v>82</v>
      </c>
      <c r="D33" s="13" t="s">
        <v>82</v>
      </c>
      <c r="E33" s="13">
        <v>71066</v>
      </c>
      <c r="F33" s="13">
        <v>210</v>
      </c>
      <c r="G33" s="12"/>
      <c r="H33" s="12"/>
      <c r="I33" s="12"/>
      <c r="J33" s="12"/>
      <c r="K33" s="12"/>
    </row>
    <row r="34" spans="1:11" x14ac:dyDescent="0.25">
      <c r="A34" s="13">
        <v>33</v>
      </c>
      <c r="B34" s="13" t="s">
        <v>23</v>
      </c>
      <c r="C34" s="13" t="s">
        <v>83</v>
      </c>
      <c r="D34" s="13" t="s">
        <v>84</v>
      </c>
      <c r="E34" s="13">
        <v>85926</v>
      </c>
      <c r="F34" s="13">
        <v>407</v>
      </c>
      <c r="G34" s="12"/>
      <c r="H34" s="12"/>
      <c r="I34" s="12"/>
      <c r="J34" s="12"/>
      <c r="K34" s="12"/>
    </row>
    <row r="35" spans="1:11" x14ac:dyDescent="0.25">
      <c r="A35" s="13">
        <v>34</v>
      </c>
      <c r="B35" s="13" t="s">
        <v>23</v>
      </c>
      <c r="C35" s="13" t="s">
        <v>185</v>
      </c>
      <c r="D35" s="13" t="s">
        <v>86</v>
      </c>
      <c r="E35" s="13">
        <v>141033</v>
      </c>
      <c r="F35" s="13">
        <v>633</v>
      </c>
      <c r="G35" s="12"/>
      <c r="H35" s="12"/>
      <c r="I35" s="12"/>
      <c r="J35" s="12"/>
      <c r="K35" s="12"/>
    </row>
    <row r="36" spans="1:11" x14ac:dyDescent="0.25">
      <c r="A36" s="13">
        <v>35</v>
      </c>
      <c r="B36" s="13" t="s">
        <v>23</v>
      </c>
      <c r="C36" s="13" t="s">
        <v>87</v>
      </c>
      <c r="D36" s="13" t="s">
        <v>88</v>
      </c>
      <c r="E36" s="13">
        <v>146567</v>
      </c>
      <c r="F36" s="13">
        <v>403</v>
      </c>
      <c r="G36" s="12"/>
      <c r="H36" s="12"/>
      <c r="I36" s="12"/>
      <c r="J36" s="12"/>
      <c r="K36" s="12"/>
    </row>
    <row r="37" spans="1:11" x14ac:dyDescent="0.25">
      <c r="A37" s="13">
        <v>36</v>
      </c>
      <c r="B37" s="13" t="s">
        <v>23</v>
      </c>
      <c r="C37" s="13" t="s">
        <v>89</v>
      </c>
      <c r="D37" s="13" t="s">
        <v>90</v>
      </c>
      <c r="E37" s="13">
        <v>182093</v>
      </c>
      <c r="F37" s="13">
        <v>1013</v>
      </c>
      <c r="G37" s="12"/>
      <c r="H37" s="12"/>
      <c r="I37" s="12"/>
      <c r="J37" s="12"/>
      <c r="K37" s="12"/>
    </row>
    <row r="38" spans="1:11" x14ac:dyDescent="0.25">
      <c r="A38" s="13">
        <v>37</v>
      </c>
      <c r="B38" s="13" t="s">
        <v>23</v>
      </c>
      <c r="C38" s="13" t="s">
        <v>91</v>
      </c>
      <c r="D38" s="13" t="s">
        <v>92</v>
      </c>
      <c r="E38" s="13">
        <v>377664</v>
      </c>
      <c r="F38" s="13">
        <v>2675</v>
      </c>
      <c r="G38" s="12"/>
      <c r="H38" s="12"/>
      <c r="I38" s="12"/>
      <c r="J38" s="12"/>
      <c r="K38" s="12"/>
    </row>
    <row r="39" spans="1:11" x14ac:dyDescent="0.25">
      <c r="A39" s="13">
        <v>38</v>
      </c>
      <c r="B39" s="13" t="s">
        <v>23</v>
      </c>
      <c r="C39" s="13" t="s">
        <v>67</v>
      </c>
      <c r="D39" s="13" t="s">
        <v>94</v>
      </c>
      <c r="E39" s="13">
        <v>223986</v>
      </c>
      <c r="F39" s="13">
        <v>1139</v>
      </c>
      <c r="G39" s="12"/>
      <c r="H39" s="12"/>
      <c r="I39" s="12"/>
      <c r="J39" s="12"/>
      <c r="K39" s="12"/>
    </row>
    <row r="40" spans="1:11" x14ac:dyDescent="0.25">
      <c r="A40" s="13">
        <v>39</v>
      </c>
      <c r="B40" s="13" t="s">
        <v>23</v>
      </c>
      <c r="C40" s="13" t="s">
        <v>186</v>
      </c>
      <c r="D40" s="13" t="s">
        <v>95</v>
      </c>
      <c r="E40" s="13">
        <v>8524</v>
      </c>
      <c r="F40" s="13">
        <v>57</v>
      </c>
      <c r="G40" s="12"/>
      <c r="H40" s="12"/>
      <c r="I40" s="12"/>
      <c r="J40" s="12"/>
      <c r="K40" s="12"/>
    </row>
    <row r="41" spans="1:11" x14ac:dyDescent="0.25">
      <c r="A41" s="13">
        <v>40</v>
      </c>
      <c r="B41" s="13" t="s">
        <v>23</v>
      </c>
      <c r="C41" s="13" t="s">
        <v>187</v>
      </c>
      <c r="D41" s="13" t="s">
        <v>74</v>
      </c>
      <c r="E41" s="13">
        <v>222769</v>
      </c>
      <c r="F41" s="13">
        <v>722</v>
      </c>
      <c r="G41" s="12"/>
      <c r="H41" s="12"/>
      <c r="I41" s="12"/>
      <c r="J41" s="12"/>
      <c r="K41" s="12"/>
    </row>
    <row r="42" spans="1:11" x14ac:dyDescent="0.25">
      <c r="A42" s="13">
        <v>41</v>
      </c>
      <c r="B42" s="13" t="s">
        <v>32</v>
      </c>
      <c r="C42" s="13" t="s">
        <v>97</v>
      </c>
      <c r="D42" s="13" t="s">
        <v>97</v>
      </c>
      <c r="E42" s="13">
        <v>214711</v>
      </c>
      <c r="F42" s="13">
        <v>766</v>
      </c>
      <c r="G42" s="12"/>
      <c r="H42" s="12"/>
      <c r="I42" s="12"/>
      <c r="J42" s="12"/>
      <c r="K42" s="12"/>
    </row>
    <row r="43" spans="1:11" x14ac:dyDescent="0.25">
      <c r="A43" s="13">
        <v>42</v>
      </c>
      <c r="B43" s="13" t="s">
        <v>32</v>
      </c>
      <c r="C43" s="13" t="s">
        <v>98</v>
      </c>
      <c r="D43" s="13" t="s">
        <v>98</v>
      </c>
      <c r="E43" s="13">
        <v>23531</v>
      </c>
      <c r="F43" s="13">
        <v>43</v>
      </c>
      <c r="G43" s="12"/>
      <c r="H43" s="12"/>
      <c r="I43" s="12"/>
      <c r="J43" s="12"/>
      <c r="K43" s="12"/>
    </row>
    <row r="44" spans="1:11" x14ac:dyDescent="0.25">
      <c r="A44" s="13">
        <v>43</v>
      </c>
      <c r="B44" s="13" t="s">
        <v>23</v>
      </c>
      <c r="C44" s="13" t="s">
        <v>99</v>
      </c>
      <c r="D44" s="13" t="s">
        <v>100</v>
      </c>
      <c r="E44" s="13">
        <v>190577</v>
      </c>
      <c r="F44" s="13">
        <v>384</v>
      </c>
      <c r="G44" s="12"/>
      <c r="H44" s="12"/>
      <c r="I44" s="12"/>
      <c r="J44" s="12"/>
      <c r="K44" s="12"/>
    </row>
    <row r="45" spans="1:11" x14ac:dyDescent="0.25">
      <c r="A45" s="13">
        <v>44</v>
      </c>
      <c r="B45" s="13" t="s">
        <v>23</v>
      </c>
      <c r="C45" s="13" t="s">
        <v>101</v>
      </c>
      <c r="D45" s="13" t="s">
        <v>102</v>
      </c>
      <c r="E45" s="13">
        <v>264214</v>
      </c>
      <c r="F45" s="13">
        <v>1239</v>
      </c>
      <c r="G45" s="12"/>
      <c r="H45" s="12"/>
      <c r="I45" s="12"/>
      <c r="J45" s="12"/>
      <c r="K45" s="12"/>
    </row>
    <row r="46" spans="1:11" x14ac:dyDescent="0.25">
      <c r="A46" s="13">
        <v>45</v>
      </c>
      <c r="B46" s="13" t="s">
        <v>32</v>
      </c>
      <c r="C46" s="13" t="s">
        <v>103</v>
      </c>
      <c r="D46" s="13" t="s">
        <v>103</v>
      </c>
      <c r="E46" s="13">
        <v>39129</v>
      </c>
      <c r="F46" s="13">
        <v>136</v>
      </c>
      <c r="G46" s="12"/>
      <c r="H46" s="12"/>
      <c r="I46" s="12"/>
      <c r="J46" s="12"/>
      <c r="K46" s="12"/>
    </row>
    <row r="47" spans="1:11" x14ac:dyDescent="0.25">
      <c r="A47" s="13">
        <v>46</v>
      </c>
      <c r="B47" s="13" t="s">
        <v>32</v>
      </c>
      <c r="C47" s="13" t="s">
        <v>104</v>
      </c>
      <c r="D47" s="13" t="s">
        <v>104</v>
      </c>
      <c r="E47" s="13">
        <v>154778</v>
      </c>
      <c r="F47" s="13">
        <v>360</v>
      </c>
      <c r="G47" s="12"/>
      <c r="H47" s="12"/>
      <c r="I47" s="12"/>
      <c r="J47" s="12"/>
      <c r="K47" s="12"/>
    </row>
    <row r="48" spans="1:11" x14ac:dyDescent="0.25">
      <c r="A48" s="13">
        <v>47</v>
      </c>
      <c r="B48" s="13" t="s">
        <v>23</v>
      </c>
      <c r="C48" s="13" t="s">
        <v>188</v>
      </c>
      <c r="D48" s="13" t="s">
        <v>106</v>
      </c>
      <c r="E48" s="13">
        <v>85374</v>
      </c>
      <c r="F48" s="13">
        <v>500</v>
      </c>
      <c r="G48" s="12"/>
      <c r="H48" s="12"/>
      <c r="I48" s="12"/>
      <c r="J48" s="12"/>
      <c r="K48" s="12"/>
    </row>
    <row r="49" spans="1:11" x14ac:dyDescent="0.25">
      <c r="A49" s="13">
        <v>48</v>
      </c>
      <c r="B49" s="13" t="s">
        <v>23</v>
      </c>
      <c r="C49" s="13" t="s">
        <v>76</v>
      </c>
      <c r="D49" s="13" t="s">
        <v>108</v>
      </c>
      <c r="E49" s="13">
        <v>126209</v>
      </c>
      <c r="F49" s="13">
        <v>492</v>
      </c>
      <c r="G49" s="12"/>
      <c r="H49" s="12"/>
      <c r="I49" s="12"/>
      <c r="J49" s="12"/>
      <c r="K49" s="12"/>
    </row>
    <row r="50" spans="1:11" x14ac:dyDescent="0.25">
      <c r="A50" s="13">
        <v>49</v>
      </c>
      <c r="B50" s="13" t="s">
        <v>32</v>
      </c>
      <c r="C50" s="13" t="s">
        <v>66</v>
      </c>
      <c r="D50" s="13" t="s">
        <v>66</v>
      </c>
      <c r="E50" s="13">
        <v>17669</v>
      </c>
      <c r="F50" s="13">
        <v>38</v>
      </c>
      <c r="G50" s="12"/>
      <c r="H50" s="12"/>
      <c r="I50" s="12"/>
      <c r="J50" s="12"/>
      <c r="K50" s="12"/>
    </row>
    <row r="51" spans="1:11" x14ac:dyDescent="0.25">
      <c r="A51" s="13">
        <v>50</v>
      </c>
      <c r="B51" s="13" t="s">
        <v>32</v>
      </c>
      <c r="C51" s="13" t="s">
        <v>109</v>
      </c>
      <c r="D51" s="13" t="s">
        <v>109</v>
      </c>
      <c r="E51" s="13">
        <v>277474</v>
      </c>
      <c r="F51" s="13">
        <v>1580</v>
      </c>
      <c r="G51" s="12"/>
      <c r="H51" s="12"/>
      <c r="I51" s="12"/>
      <c r="J51" s="12"/>
      <c r="K51" s="12"/>
    </row>
    <row r="52" spans="1:11" x14ac:dyDescent="0.25">
      <c r="A52" s="13">
        <v>51</v>
      </c>
      <c r="B52" s="13" t="s">
        <v>23</v>
      </c>
      <c r="C52" s="13" t="s">
        <v>110</v>
      </c>
      <c r="D52" s="13" t="s">
        <v>111</v>
      </c>
      <c r="E52" s="13">
        <v>147951</v>
      </c>
      <c r="F52" s="13">
        <v>532</v>
      </c>
      <c r="G52" s="12"/>
      <c r="H52" s="12"/>
      <c r="I52" s="12"/>
      <c r="J52" s="12"/>
      <c r="K52" s="12"/>
    </row>
    <row r="53" spans="1:11" x14ac:dyDescent="0.25">
      <c r="A53" s="13">
        <v>52</v>
      </c>
      <c r="B53" s="13" t="s">
        <v>32</v>
      </c>
      <c r="C53" s="13" t="s">
        <v>113</v>
      </c>
      <c r="D53" s="13" t="s">
        <v>113</v>
      </c>
      <c r="E53" s="13">
        <v>196805</v>
      </c>
      <c r="F53" s="13">
        <v>1069</v>
      </c>
      <c r="G53" s="12"/>
      <c r="H53" s="12"/>
      <c r="I53" s="12"/>
      <c r="J53" s="12"/>
      <c r="K53" s="12"/>
    </row>
    <row r="54" spans="1:11" x14ac:dyDescent="0.25">
      <c r="A54" s="13">
        <v>53</v>
      </c>
      <c r="B54" s="13" t="s">
        <v>23</v>
      </c>
      <c r="C54" s="13" t="s">
        <v>189</v>
      </c>
      <c r="D54" s="13" t="s">
        <v>115</v>
      </c>
      <c r="E54" s="13">
        <v>230498</v>
      </c>
      <c r="F54" s="13">
        <v>1203</v>
      </c>
      <c r="G54" s="12"/>
      <c r="H54" s="12"/>
      <c r="I54" s="12"/>
      <c r="J54" s="12"/>
      <c r="K54" s="12"/>
    </row>
    <row r="55" spans="1:11" x14ac:dyDescent="0.25">
      <c r="A55" s="13">
        <v>54</v>
      </c>
      <c r="B55" s="13" t="s">
        <v>23</v>
      </c>
      <c r="C55" s="13" t="s">
        <v>116</v>
      </c>
      <c r="D55" s="13" t="s">
        <v>117</v>
      </c>
      <c r="E55" s="13">
        <v>497942</v>
      </c>
      <c r="F55" s="13">
        <v>4232</v>
      </c>
      <c r="G55" s="12"/>
      <c r="H55" s="12"/>
      <c r="I55" s="12"/>
      <c r="J55" s="12"/>
      <c r="K55" s="12"/>
    </row>
    <row r="56" spans="1:11" x14ac:dyDescent="0.25">
      <c r="A56" s="13">
        <v>55</v>
      </c>
      <c r="B56" s="13" t="s">
        <v>32</v>
      </c>
      <c r="C56" s="13" t="s">
        <v>118</v>
      </c>
      <c r="D56" s="13" t="s">
        <v>118</v>
      </c>
      <c r="E56" s="13">
        <v>101376</v>
      </c>
      <c r="F56" s="13">
        <v>611</v>
      </c>
      <c r="G56" s="12"/>
      <c r="H56" s="12"/>
      <c r="I56" s="12"/>
      <c r="J56" s="12"/>
      <c r="K56" s="12"/>
    </row>
    <row r="57" spans="1:11" x14ac:dyDescent="0.25">
      <c r="A57" s="13">
        <v>56</v>
      </c>
      <c r="B57" s="13" t="s">
        <v>32</v>
      </c>
      <c r="C57" s="13" t="s">
        <v>119</v>
      </c>
      <c r="D57" s="13" t="s">
        <v>119</v>
      </c>
      <c r="E57" s="13">
        <v>89364</v>
      </c>
      <c r="F57" s="13">
        <v>139</v>
      </c>
      <c r="G57" s="12"/>
      <c r="H57" s="12"/>
      <c r="I57" s="12"/>
      <c r="J57" s="12"/>
      <c r="K57" s="12"/>
    </row>
    <row r="58" spans="1:11" x14ac:dyDescent="0.25">
      <c r="A58" s="13">
        <v>57</v>
      </c>
      <c r="B58" s="13" t="s">
        <v>32</v>
      </c>
      <c r="C58" s="13" t="s">
        <v>120</v>
      </c>
      <c r="D58" s="13" t="s">
        <v>120</v>
      </c>
      <c r="E58" s="13">
        <v>77688</v>
      </c>
      <c r="F58" s="13">
        <v>599</v>
      </c>
      <c r="G58" s="12"/>
      <c r="H58" s="12"/>
      <c r="I58" s="12"/>
      <c r="J58" s="12"/>
      <c r="K58" s="12"/>
    </row>
    <row r="59" spans="1:11" x14ac:dyDescent="0.25">
      <c r="A59" s="13">
        <v>58</v>
      </c>
      <c r="B59" s="13" t="s">
        <v>32</v>
      </c>
      <c r="C59" s="13" t="s">
        <v>121</v>
      </c>
      <c r="D59" s="13" t="s">
        <v>121</v>
      </c>
      <c r="E59" s="13">
        <v>81125</v>
      </c>
      <c r="F59" s="13">
        <v>318</v>
      </c>
      <c r="G59" s="12"/>
      <c r="H59" s="12"/>
      <c r="I59" s="12"/>
      <c r="J59" s="12"/>
      <c r="K59" s="12"/>
    </row>
    <row r="60" spans="1:11" x14ac:dyDescent="0.25">
      <c r="A60" s="13">
        <v>59</v>
      </c>
      <c r="B60" s="13" t="s">
        <v>23</v>
      </c>
      <c r="C60" s="13" t="s">
        <v>190</v>
      </c>
      <c r="D60" s="13" t="s">
        <v>114</v>
      </c>
      <c r="E60" s="13">
        <v>395054</v>
      </c>
      <c r="F60" s="13">
        <v>2650</v>
      </c>
      <c r="G60" s="12"/>
      <c r="H60" s="12"/>
      <c r="I60" s="12"/>
      <c r="J60" s="12"/>
      <c r="K60" s="12"/>
    </row>
    <row r="61" spans="1:11" x14ac:dyDescent="0.25">
      <c r="A61" s="13">
        <v>60</v>
      </c>
      <c r="B61" s="13" t="s">
        <v>23</v>
      </c>
      <c r="C61" s="13" t="s">
        <v>123</v>
      </c>
      <c r="D61" s="13" t="s">
        <v>124</v>
      </c>
      <c r="E61" s="13">
        <v>109208</v>
      </c>
      <c r="F61" s="13">
        <v>693</v>
      </c>
      <c r="G61" s="12"/>
      <c r="H61" s="12"/>
      <c r="I61" s="12"/>
      <c r="J61" s="12"/>
      <c r="K61" s="12"/>
    </row>
    <row r="62" spans="1:11" x14ac:dyDescent="0.25">
      <c r="A62" s="13">
        <v>61</v>
      </c>
      <c r="B62" s="13" t="s">
        <v>32</v>
      </c>
      <c r="C62" s="13" t="s">
        <v>95</v>
      </c>
      <c r="D62" s="13" t="s">
        <v>95</v>
      </c>
      <c r="E62" s="13">
        <v>51260</v>
      </c>
      <c r="F62" s="13">
        <v>237</v>
      </c>
      <c r="G62" s="12"/>
      <c r="H62" s="12"/>
      <c r="I62" s="12"/>
      <c r="J62" s="12"/>
      <c r="K62" s="12"/>
    </row>
    <row r="63" spans="1:11" x14ac:dyDescent="0.25">
      <c r="A63" s="13">
        <v>62</v>
      </c>
      <c r="B63" s="13" t="s">
        <v>23</v>
      </c>
      <c r="C63" s="13" t="s">
        <v>126</v>
      </c>
      <c r="D63" s="13" t="s">
        <v>127</v>
      </c>
      <c r="E63" s="13">
        <v>33869</v>
      </c>
      <c r="F63" s="13">
        <v>217</v>
      </c>
      <c r="G63" s="12"/>
      <c r="H63" s="12"/>
      <c r="I63" s="12"/>
      <c r="J63" s="12"/>
      <c r="K63" s="12"/>
    </row>
    <row r="64" spans="1:11" x14ac:dyDescent="0.25">
      <c r="A64" s="13">
        <v>63</v>
      </c>
      <c r="B64" s="13" t="s">
        <v>23</v>
      </c>
      <c r="C64" s="13" t="s">
        <v>191</v>
      </c>
      <c r="D64" s="13" t="s">
        <v>129</v>
      </c>
      <c r="E64" s="13">
        <v>527043</v>
      </c>
      <c r="F64" s="13">
        <v>3658</v>
      </c>
      <c r="G64" s="12"/>
      <c r="H64" s="12"/>
      <c r="I64" s="12"/>
      <c r="J64" s="12"/>
      <c r="K64" s="12"/>
    </row>
    <row r="65" spans="1:11" x14ac:dyDescent="0.25">
      <c r="A65" s="13">
        <v>64</v>
      </c>
      <c r="B65" s="13" t="s">
        <v>23</v>
      </c>
      <c r="C65" s="13" t="s">
        <v>127</v>
      </c>
      <c r="D65" s="13" t="s">
        <v>131</v>
      </c>
      <c r="E65" s="13">
        <v>284677</v>
      </c>
      <c r="F65" s="13">
        <v>1545</v>
      </c>
      <c r="G65" s="12"/>
      <c r="H65" s="12"/>
      <c r="I65" s="12"/>
      <c r="J65" s="12"/>
      <c r="K65" s="12"/>
    </row>
    <row r="66" spans="1:11" x14ac:dyDescent="0.25">
      <c r="A66" s="13">
        <v>65</v>
      </c>
      <c r="B66" s="13" t="s">
        <v>32</v>
      </c>
      <c r="C66" s="13" t="s">
        <v>133</v>
      </c>
      <c r="D66" s="13" t="s">
        <v>133</v>
      </c>
      <c r="E66" s="13">
        <v>153011</v>
      </c>
      <c r="F66" s="13">
        <v>733</v>
      </c>
      <c r="G66" s="12"/>
      <c r="H66" s="12"/>
      <c r="I66" s="12"/>
      <c r="J66" s="12"/>
      <c r="K66" s="12"/>
    </row>
    <row r="67" spans="1:11" x14ac:dyDescent="0.25">
      <c r="A67" s="13">
        <v>66</v>
      </c>
      <c r="B67" s="13" t="s">
        <v>32</v>
      </c>
      <c r="C67" s="13" t="s">
        <v>99</v>
      </c>
      <c r="D67" s="13" t="s">
        <v>99</v>
      </c>
      <c r="E67" s="13">
        <v>71793</v>
      </c>
      <c r="F67" s="13">
        <v>219</v>
      </c>
      <c r="G67" s="12"/>
      <c r="H67" s="12"/>
      <c r="I67" s="12"/>
      <c r="J67" s="12"/>
      <c r="K67" s="12"/>
    </row>
    <row r="68" spans="1:11" x14ac:dyDescent="0.25">
      <c r="A68" s="13">
        <v>67</v>
      </c>
      <c r="B68" s="13" t="s">
        <v>23</v>
      </c>
      <c r="C68" s="13" t="s">
        <v>134</v>
      </c>
      <c r="D68" s="13" t="s">
        <v>135</v>
      </c>
      <c r="E68" s="13">
        <v>32032</v>
      </c>
      <c r="F68" s="13">
        <v>110</v>
      </c>
      <c r="G68" s="12"/>
      <c r="H68" s="12"/>
      <c r="I68" s="12"/>
      <c r="J68" s="12"/>
      <c r="K68" s="12"/>
    </row>
    <row r="69" spans="1:11" x14ac:dyDescent="0.25">
      <c r="A69" s="13">
        <v>68</v>
      </c>
      <c r="B69" s="13" t="s">
        <v>23</v>
      </c>
      <c r="C69" s="13" t="s">
        <v>171</v>
      </c>
      <c r="D69" s="13" t="s">
        <v>137</v>
      </c>
      <c r="E69" s="13">
        <v>666373</v>
      </c>
      <c r="F69" s="13">
        <v>2758</v>
      </c>
      <c r="G69" s="12"/>
      <c r="H69" s="12"/>
      <c r="I69" s="12"/>
      <c r="J69" s="12"/>
      <c r="K69" s="12"/>
    </row>
    <row r="70" spans="1:11" x14ac:dyDescent="0.25">
      <c r="A70" s="13">
        <v>69</v>
      </c>
      <c r="B70" s="13" t="s">
        <v>23</v>
      </c>
      <c r="C70" s="13" t="s">
        <v>138</v>
      </c>
      <c r="D70" s="13" t="s">
        <v>139</v>
      </c>
      <c r="E70" s="13">
        <v>203097</v>
      </c>
      <c r="F70" s="13">
        <v>831</v>
      </c>
      <c r="G70" s="12"/>
      <c r="H70" s="12"/>
      <c r="I70" s="12"/>
      <c r="J70" s="12"/>
      <c r="K70" s="12"/>
    </row>
    <row r="71" spans="1:11" x14ac:dyDescent="0.25">
      <c r="A71" s="13">
        <v>70</v>
      </c>
      <c r="B71" s="13" t="s">
        <v>23</v>
      </c>
      <c r="C71" s="13" t="s">
        <v>140</v>
      </c>
      <c r="D71" s="13" t="s">
        <v>141</v>
      </c>
      <c r="E71" s="13">
        <v>144127</v>
      </c>
      <c r="F71" s="13">
        <v>1063</v>
      </c>
      <c r="G71" s="12"/>
      <c r="H71" s="12"/>
      <c r="I71" s="12"/>
      <c r="J71" s="12"/>
      <c r="K71" s="12"/>
    </row>
    <row r="72" spans="1:11" x14ac:dyDescent="0.25">
      <c r="A72" s="13">
        <v>71</v>
      </c>
      <c r="B72" s="13" t="s">
        <v>32</v>
      </c>
      <c r="C72" s="13" t="s">
        <v>142</v>
      </c>
      <c r="D72" s="13" t="s">
        <v>142</v>
      </c>
      <c r="E72" s="13">
        <v>107736</v>
      </c>
      <c r="F72" s="13">
        <v>693</v>
      </c>
      <c r="G72" s="12"/>
      <c r="H72" s="12"/>
      <c r="I72" s="12"/>
      <c r="J72" s="12"/>
      <c r="K72" s="12"/>
    </row>
    <row r="73" spans="1:11" x14ac:dyDescent="0.25">
      <c r="A73" s="13">
        <v>72</v>
      </c>
      <c r="B73" s="13" t="s">
        <v>23</v>
      </c>
      <c r="C73" s="13" t="s">
        <v>143</v>
      </c>
      <c r="D73" s="13" t="s">
        <v>144</v>
      </c>
      <c r="E73" s="13">
        <v>128561</v>
      </c>
      <c r="F73" s="13">
        <v>766</v>
      </c>
      <c r="G73" s="12"/>
      <c r="H73" s="12"/>
      <c r="I73" s="12"/>
      <c r="J73" s="12"/>
      <c r="K73" s="12"/>
    </row>
    <row r="74" spans="1:11" x14ac:dyDescent="0.25">
      <c r="A74" s="13">
        <v>73</v>
      </c>
      <c r="B74" s="13" t="s">
        <v>23</v>
      </c>
      <c r="C74" s="13" t="s">
        <v>120</v>
      </c>
      <c r="D74" s="13" t="s">
        <v>145</v>
      </c>
      <c r="E74" s="13">
        <v>269657</v>
      </c>
      <c r="F74" s="13">
        <v>1604</v>
      </c>
      <c r="G74" s="12"/>
      <c r="H74" s="12"/>
      <c r="I74" s="12"/>
      <c r="J74" s="12"/>
      <c r="K74" s="12"/>
    </row>
    <row r="75" spans="1:11" x14ac:dyDescent="0.25">
      <c r="A75" s="13">
        <v>74</v>
      </c>
      <c r="B75" s="13" t="s">
        <v>32</v>
      </c>
      <c r="C75" s="13" t="s">
        <v>146</v>
      </c>
      <c r="D75" s="13" t="s">
        <v>146</v>
      </c>
      <c r="E75" s="13">
        <v>32048</v>
      </c>
      <c r="F75" s="13">
        <v>98</v>
      </c>
      <c r="G75" s="12"/>
      <c r="H75" s="12"/>
      <c r="I75" s="12"/>
      <c r="J75" s="12"/>
      <c r="K75" s="12"/>
    </row>
    <row r="76" spans="1:11" x14ac:dyDescent="0.25">
      <c r="A76" s="13">
        <v>75</v>
      </c>
      <c r="B76" s="13" t="s">
        <v>32</v>
      </c>
      <c r="C76" s="13" t="s">
        <v>127</v>
      </c>
      <c r="D76" s="13" t="s">
        <v>127</v>
      </c>
      <c r="E76" s="13">
        <v>197473</v>
      </c>
      <c r="F76" s="13">
        <v>536</v>
      </c>
      <c r="G76" s="12"/>
      <c r="H76" s="12"/>
      <c r="I76" s="12"/>
      <c r="J76" s="12"/>
      <c r="K76" s="12"/>
    </row>
    <row r="77" spans="1:11" x14ac:dyDescent="0.25">
      <c r="A77" s="13">
        <v>76</v>
      </c>
      <c r="B77" s="13" t="s">
        <v>23</v>
      </c>
      <c r="C77" s="13" t="s">
        <v>147</v>
      </c>
      <c r="D77" s="13" t="s">
        <v>148</v>
      </c>
      <c r="E77" s="13">
        <v>35919</v>
      </c>
      <c r="F77" s="13">
        <v>80</v>
      </c>
      <c r="G77" s="12"/>
      <c r="H77" s="12"/>
      <c r="I77" s="12"/>
      <c r="J77" s="12"/>
      <c r="K77" s="12"/>
    </row>
    <row r="78" spans="1:11" x14ac:dyDescent="0.25">
      <c r="A78" s="13">
        <v>77</v>
      </c>
      <c r="B78" s="13" t="s">
        <v>23</v>
      </c>
      <c r="C78" s="13" t="s">
        <v>192</v>
      </c>
      <c r="D78" s="13" t="s">
        <v>150</v>
      </c>
      <c r="E78" s="13">
        <v>81471</v>
      </c>
      <c r="F78" s="13">
        <v>315</v>
      </c>
      <c r="G78" s="12"/>
      <c r="H78" s="12"/>
      <c r="I78" s="12"/>
      <c r="J78" s="12"/>
      <c r="K78" s="12"/>
    </row>
    <row r="79" spans="1:11" x14ac:dyDescent="0.25">
      <c r="A79" s="13">
        <v>78</v>
      </c>
      <c r="B79" s="13" t="s">
        <v>32</v>
      </c>
      <c r="C79" s="13" t="s">
        <v>151</v>
      </c>
      <c r="D79" s="13" t="s">
        <v>151</v>
      </c>
      <c r="E79" s="13">
        <v>100732</v>
      </c>
      <c r="F79" s="13">
        <v>528</v>
      </c>
      <c r="G79" s="12"/>
      <c r="H79" s="12"/>
      <c r="I79" s="12"/>
      <c r="J79" s="12"/>
      <c r="K79" s="12"/>
    </row>
    <row r="80" spans="1:11" x14ac:dyDescent="0.25">
      <c r="A80" s="13">
        <v>79</v>
      </c>
      <c r="B80" s="13" t="s">
        <v>23</v>
      </c>
      <c r="C80" s="13" t="s">
        <v>193</v>
      </c>
      <c r="D80" s="13" t="s">
        <v>153</v>
      </c>
      <c r="E80" s="13">
        <v>541490</v>
      </c>
      <c r="F80" s="13">
        <v>2036</v>
      </c>
      <c r="G80" s="12"/>
      <c r="H80" s="12"/>
      <c r="I80" s="12"/>
      <c r="J80" s="12"/>
      <c r="K80" s="12"/>
    </row>
    <row r="81" spans="1:11" x14ac:dyDescent="0.25">
      <c r="A81" s="13">
        <v>80</v>
      </c>
      <c r="B81" s="13" t="s">
        <v>32</v>
      </c>
      <c r="C81" s="13" t="s">
        <v>154</v>
      </c>
      <c r="D81" s="13" t="s">
        <v>154</v>
      </c>
      <c r="E81" s="13">
        <v>54848</v>
      </c>
      <c r="F81" s="13">
        <v>121</v>
      </c>
      <c r="G81" s="12"/>
      <c r="H81" s="12"/>
      <c r="I81" s="12"/>
      <c r="J81" s="12"/>
      <c r="K81" s="12"/>
    </row>
    <row r="82" spans="1:11" x14ac:dyDescent="0.25">
      <c r="A82" s="13">
        <v>81</v>
      </c>
      <c r="B82" s="13" t="s">
        <v>23</v>
      </c>
      <c r="C82" s="13" t="s">
        <v>194</v>
      </c>
      <c r="D82" s="13" t="s">
        <v>156</v>
      </c>
      <c r="E82" s="13">
        <v>780296</v>
      </c>
      <c r="F82" s="13">
        <v>3503</v>
      </c>
      <c r="G82" s="12"/>
      <c r="H82" s="12"/>
      <c r="I82" s="12"/>
      <c r="J82" s="12"/>
      <c r="K82" s="12"/>
    </row>
    <row r="83" spans="1:11" x14ac:dyDescent="0.25">
      <c r="A83" s="13">
        <v>82</v>
      </c>
      <c r="B83" s="13" t="s">
        <v>32</v>
      </c>
      <c r="C83" s="13" t="s">
        <v>157</v>
      </c>
      <c r="D83" s="13" t="s">
        <v>157</v>
      </c>
      <c r="E83" s="13">
        <v>171652</v>
      </c>
      <c r="F83" s="13">
        <v>472</v>
      </c>
      <c r="G83" s="12"/>
      <c r="H83" s="12"/>
      <c r="I83" s="12"/>
      <c r="J83" s="12"/>
      <c r="K83" s="12"/>
    </row>
    <row r="84" spans="1:11" x14ac:dyDescent="0.25">
      <c r="A84" s="13">
        <v>83</v>
      </c>
      <c r="B84" s="13" t="s">
        <v>23</v>
      </c>
      <c r="C84" s="13" t="s">
        <v>158</v>
      </c>
      <c r="D84" s="13" t="s">
        <v>159</v>
      </c>
      <c r="E84" s="13">
        <v>51343</v>
      </c>
      <c r="F84" s="13">
        <v>206</v>
      </c>
      <c r="G84" s="12"/>
      <c r="H84" s="12"/>
      <c r="I84" s="12"/>
      <c r="J84" s="12"/>
      <c r="K84" s="12"/>
    </row>
    <row r="85" spans="1:11" x14ac:dyDescent="0.25">
      <c r="A85" s="13">
        <v>84</v>
      </c>
      <c r="B85" s="13" t="s">
        <v>23</v>
      </c>
      <c r="C85" s="13" t="s">
        <v>160</v>
      </c>
      <c r="D85" s="13" t="s">
        <v>161</v>
      </c>
      <c r="E85" s="13">
        <v>305700</v>
      </c>
      <c r="F85" s="13">
        <v>1225</v>
      </c>
      <c r="G85" s="12"/>
      <c r="H85" s="12"/>
      <c r="I85" s="12"/>
      <c r="J85" s="12"/>
      <c r="K85" s="12"/>
    </row>
    <row r="86" spans="1:11" x14ac:dyDescent="0.25">
      <c r="A86" s="13">
        <v>85</v>
      </c>
      <c r="B86" s="13" t="s">
        <v>32</v>
      </c>
      <c r="C86" s="13" t="s">
        <v>162</v>
      </c>
      <c r="D86" s="13" t="s">
        <v>162</v>
      </c>
      <c r="E86" s="13">
        <v>118136</v>
      </c>
      <c r="F86" s="13">
        <v>414</v>
      </c>
      <c r="G86" s="12"/>
      <c r="H86" s="12"/>
      <c r="I86" s="12"/>
      <c r="J86" s="12"/>
      <c r="K86" s="12"/>
    </row>
    <row r="87" spans="1:11" x14ac:dyDescent="0.25">
      <c r="A87" s="13">
        <v>86</v>
      </c>
      <c r="B87" s="13" t="s">
        <v>32</v>
      </c>
      <c r="C87" s="13" t="s">
        <v>163</v>
      </c>
      <c r="D87" s="13" t="s">
        <v>163</v>
      </c>
      <c r="E87" s="13">
        <v>140172</v>
      </c>
      <c r="F87" s="13">
        <v>537</v>
      </c>
      <c r="G87" s="12"/>
      <c r="H87" s="12"/>
      <c r="I87" s="12"/>
      <c r="J87" s="12"/>
      <c r="K87" s="12"/>
    </row>
    <row r="88" spans="1:11" x14ac:dyDescent="0.25">
      <c r="A88" s="13">
        <v>87</v>
      </c>
      <c r="B88" s="13" t="s">
        <v>32</v>
      </c>
      <c r="C88" s="13" t="s">
        <v>164</v>
      </c>
      <c r="D88" s="13" t="s">
        <v>164</v>
      </c>
      <c r="E88" s="13">
        <v>58779</v>
      </c>
      <c r="F88" s="13">
        <v>125</v>
      </c>
      <c r="G88" s="12"/>
      <c r="H88" s="12"/>
      <c r="I88" s="12"/>
      <c r="J88" s="12"/>
      <c r="K88" s="12"/>
    </row>
    <row r="89" spans="1:11" x14ac:dyDescent="0.25">
      <c r="A89" s="13">
        <v>88</v>
      </c>
      <c r="B89" s="13" t="s">
        <v>32</v>
      </c>
      <c r="C89" s="13" t="s">
        <v>165</v>
      </c>
      <c r="D89" s="13" t="s">
        <v>165</v>
      </c>
      <c r="E89" s="13">
        <v>18414</v>
      </c>
      <c r="F89" s="13">
        <v>39</v>
      </c>
      <c r="G89" s="12"/>
      <c r="H89" s="12"/>
      <c r="I89" s="12"/>
      <c r="J89" s="12"/>
      <c r="K89" s="12"/>
    </row>
    <row r="90" spans="1:11" x14ac:dyDescent="0.25">
      <c r="A90" s="13">
        <v>89</v>
      </c>
      <c r="B90" s="13" t="s">
        <v>32</v>
      </c>
      <c r="C90" s="13" t="s">
        <v>166</v>
      </c>
      <c r="D90" s="13" t="s">
        <v>166</v>
      </c>
      <c r="E90" s="13">
        <v>222962</v>
      </c>
      <c r="F90" s="13">
        <v>361</v>
      </c>
      <c r="G90" s="12"/>
      <c r="H90" s="12"/>
      <c r="I90" s="12"/>
      <c r="J90" s="12"/>
      <c r="K90" s="12"/>
    </row>
    <row r="91" spans="1:11" x14ac:dyDescent="0.25">
      <c r="A91" s="13">
        <v>90</v>
      </c>
      <c r="B91" s="13" t="s">
        <v>23</v>
      </c>
      <c r="C91" s="13" t="s">
        <v>167</v>
      </c>
      <c r="D91" s="13" t="s">
        <v>168</v>
      </c>
      <c r="E91" s="13">
        <v>245459</v>
      </c>
      <c r="F91" s="13">
        <v>652</v>
      </c>
      <c r="G91" s="12"/>
      <c r="H91" s="12"/>
      <c r="I91" s="12"/>
      <c r="J91" s="12"/>
      <c r="K91" s="12"/>
    </row>
    <row r="92" spans="1:11" x14ac:dyDescent="0.25">
      <c r="A92" s="13">
        <v>91</v>
      </c>
      <c r="B92" s="13" t="s">
        <v>23</v>
      </c>
      <c r="C92" s="13" t="s">
        <v>169</v>
      </c>
      <c r="D92" s="13" t="s">
        <v>170</v>
      </c>
      <c r="E92" s="13">
        <v>190909</v>
      </c>
      <c r="F92" s="13">
        <v>537</v>
      </c>
      <c r="G92" s="12"/>
      <c r="H92" s="12"/>
      <c r="I92" s="12"/>
      <c r="J92" s="12"/>
      <c r="K92" s="12"/>
    </row>
    <row r="93" spans="1:11" x14ac:dyDescent="0.25">
      <c r="A93" s="13">
        <v>92</v>
      </c>
      <c r="B93" s="13" t="s">
        <v>23</v>
      </c>
      <c r="C93" s="13" t="s">
        <v>195</v>
      </c>
      <c r="D93" s="13" t="s">
        <v>171</v>
      </c>
      <c r="E93" s="13">
        <v>24507</v>
      </c>
      <c r="F93" s="13">
        <v>120</v>
      </c>
      <c r="G93" s="12"/>
      <c r="H93" s="12"/>
      <c r="I93" s="12"/>
      <c r="J93" s="12"/>
      <c r="K93" s="12"/>
    </row>
    <row r="94" spans="1:11" x14ac:dyDescent="0.25">
      <c r="A94" s="13">
        <v>93</v>
      </c>
      <c r="B94" s="13" t="s">
        <v>23</v>
      </c>
      <c r="C94" s="13" t="s">
        <v>172</v>
      </c>
      <c r="D94" s="13" t="s">
        <v>173</v>
      </c>
      <c r="E94" s="13">
        <v>35647</v>
      </c>
      <c r="F94" s="13">
        <v>87</v>
      </c>
      <c r="G94" s="12"/>
      <c r="H94" s="12"/>
      <c r="I94" s="12"/>
      <c r="J94" s="12"/>
      <c r="K94" s="12"/>
    </row>
    <row r="95" spans="1:11" x14ac:dyDescent="0.25">
      <c r="A95" s="13">
        <v>94</v>
      </c>
      <c r="B95" s="13" t="s">
        <v>23</v>
      </c>
      <c r="C95" s="13" t="s">
        <v>174</v>
      </c>
      <c r="D95" s="13" t="s">
        <v>175</v>
      </c>
      <c r="E95" s="13">
        <v>20689</v>
      </c>
      <c r="F95" s="13">
        <v>59</v>
      </c>
      <c r="G95" s="12"/>
      <c r="H95" s="12"/>
      <c r="I95" s="12"/>
      <c r="J95" s="12"/>
      <c r="K95" s="12"/>
    </row>
    <row r="96" spans="1:11" x14ac:dyDescent="0.25">
      <c r="A96" s="13">
        <v>95</v>
      </c>
      <c r="B96" s="13" t="s">
        <v>23</v>
      </c>
      <c r="C96" s="13" t="s">
        <v>196</v>
      </c>
      <c r="D96" s="13" t="s">
        <v>176</v>
      </c>
      <c r="E96" s="13">
        <v>82330</v>
      </c>
      <c r="F96" s="13">
        <v>295</v>
      </c>
      <c r="G96" s="12"/>
      <c r="H96" s="12"/>
      <c r="I96" s="12"/>
      <c r="J96" s="12"/>
      <c r="K96" s="12"/>
    </row>
    <row r="97" spans="1:11" x14ac:dyDescent="0.25">
      <c r="A97" s="13">
        <v>96</v>
      </c>
      <c r="B97" s="13" t="s">
        <v>23</v>
      </c>
      <c r="C97" s="13" t="s">
        <v>197</v>
      </c>
      <c r="D97" s="13" t="s">
        <v>177</v>
      </c>
      <c r="E97" s="13">
        <v>273889</v>
      </c>
      <c r="F97" s="13">
        <v>1447</v>
      </c>
      <c r="G97" s="12"/>
      <c r="H97" s="12"/>
      <c r="I97" s="12"/>
      <c r="J97" s="12"/>
      <c r="K97" s="12"/>
    </row>
    <row r="98" spans="1:11" x14ac:dyDescent="0.25">
      <c r="A98" s="13">
        <v>97</v>
      </c>
      <c r="B98" s="13" t="s">
        <v>32</v>
      </c>
      <c r="C98" s="13" t="s">
        <v>179</v>
      </c>
      <c r="D98" s="13" t="s">
        <v>179</v>
      </c>
      <c r="E98" s="13">
        <v>415045</v>
      </c>
      <c r="F98" s="13">
        <v>1730</v>
      </c>
      <c r="G98" s="12"/>
      <c r="H98" s="12"/>
      <c r="I98" s="12"/>
      <c r="J98" s="12"/>
      <c r="K98" s="12"/>
    </row>
    <row r="99" spans="1:11" x14ac:dyDescent="0.25">
      <c r="A99" s="13">
        <v>98</v>
      </c>
      <c r="B99" s="13" t="s">
        <v>23</v>
      </c>
      <c r="C99" s="13" t="s">
        <v>198</v>
      </c>
      <c r="D99" s="13" t="s">
        <v>180</v>
      </c>
      <c r="E99" s="13">
        <v>205359</v>
      </c>
      <c r="F99" s="13">
        <v>959</v>
      </c>
      <c r="G99" s="12"/>
      <c r="H99" s="12"/>
      <c r="I99" s="12"/>
      <c r="J99" s="12"/>
      <c r="K99" s="12"/>
    </row>
    <row r="100" spans="1:11" x14ac:dyDescent="0.25">
      <c r="A100" s="13">
        <v>99</v>
      </c>
      <c r="B100" s="13" t="s">
        <v>32</v>
      </c>
      <c r="C100" s="13" t="s">
        <v>159</v>
      </c>
      <c r="D100" s="13" t="s">
        <v>159</v>
      </c>
      <c r="E100" s="13">
        <v>61835</v>
      </c>
      <c r="F100" s="13">
        <v>324</v>
      </c>
      <c r="G100" s="12"/>
      <c r="H100" s="12"/>
      <c r="I100" s="12"/>
      <c r="J100" s="12"/>
      <c r="K100" s="12"/>
    </row>
    <row r="101" spans="1:11" x14ac:dyDescent="0.25">
      <c r="A101" s="13">
        <v>100</v>
      </c>
      <c r="B101" s="13" t="s">
        <v>23</v>
      </c>
      <c r="C101" s="13" t="s">
        <v>162</v>
      </c>
      <c r="D101" s="13" t="s">
        <v>150</v>
      </c>
      <c r="E101" s="13">
        <v>40016</v>
      </c>
      <c r="F101" s="13">
        <v>208</v>
      </c>
      <c r="G101" s="12"/>
      <c r="H101" s="12"/>
      <c r="I101" s="12"/>
      <c r="J101" s="12"/>
      <c r="K101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1CB6-0EAD-466C-ABA1-A5BDD9CC47D4}">
  <dimension ref="A1:K101"/>
  <sheetViews>
    <sheetView topLeftCell="H1" workbookViewId="0">
      <pane ySplit="1" topLeftCell="A2" activePane="bottomLeft" state="frozen"/>
      <selection pane="bottomLeft" activeCell="H2" sqref="H2:I8"/>
    </sheetView>
  </sheetViews>
  <sheetFormatPr defaultRowHeight="15" x14ac:dyDescent="0.25"/>
  <cols>
    <col min="1" max="1" width="7" customWidth="1"/>
    <col min="2" max="2" width="8.7109375" customWidth="1"/>
    <col min="3" max="3" width="15.7109375" customWidth="1"/>
    <col min="4" max="4" width="19.28515625" customWidth="1"/>
    <col min="5" max="5" width="18.140625" bestFit="1" customWidth="1"/>
    <col min="6" max="6" width="10.85546875" bestFit="1" customWidth="1"/>
    <col min="8" max="8" width="17.5703125" bestFit="1" customWidth="1"/>
    <col min="9" max="9" width="14.42578125" bestFit="1" customWidth="1"/>
  </cols>
  <sheetData>
    <row r="1" spans="1:1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12"/>
      <c r="H1" s="12"/>
      <c r="I1" s="12"/>
      <c r="J1" s="12"/>
      <c r="K1" s="12"/>
    </row>
    <row r="2" spans="1:11" x14ac:dyDescent="0.25">
      <c r="A2" s="13">
        <v>1</v>
      </c>
      <c r="B2" s="13" t="s">
        <v>23</v>
      </c>
      <c r="C2" s="13" t="s">
        <v>24</v>
      </c>
      <c r="D2" s="13" t="s">
        <v>25</v>
      </c>
      <c r="E2" s="13">
        <v>58355</v>
      </c>
      <c r="F2" s="13">
        <v>150</v>
      </c>
      <c r="G2" s="12"/>
      <c r="H2" s="12" t="s">
        <v>28</v>
      </c>
      <c r="I2" s="12"/>
      <c r="J2" s="12"/>
      <c r="K2" s="12"/>
    </row>
    <row r="3" spans="1:11" x14ac:dyDescent="0.25">
      <c r="A3" s="13">
        <v>2</v>
      </c>
      <c r="B3" s="13" t="s">
        <v>32</v>
      </c>
      <c r="C3" s="13" t="s">
        <v>27</v>
      </c>
      <c r="D3" s="13" t="s">
        <v>27</v>
      </c>
      <c r="E3" s="13">
        <v>206917</v>
      </c>
      <c r="F3" s="13">
        <v>780</v>
      </c>
      <c r="G3" s="12"/>
      <c r="H3" s="9" t="s">
        <v>31</v>
      </c>
      <c r="I3" s="16">
        <v>100</v>
      </c>
      <c r="J3" s="12"/>
      <c r="K3" s="12"/>
    </row>
    <row r="4" spans="1:11" x14ac:dyDescent="0.25">
      <c r="A4" s="13">
        <v>3</v>
      </c>
      <c r="B4" s="13" t="s">
        <v>23</v>
      </c>
      <c r="C4" s="13" t="s">
        <v>123</v>
      </c>
      <c r="D4" s="13" t="s">
        <v>30</v>
      </c>
      <c r="E4" s="13">
        <v>330842</v>
      </c>
      <c r="F4" s="13">
        <v>1336</v>
      </c>
      <c r="G4" s="12"/>
      <c r="H4" s="15" t="s">
        <v>34</v>
      </c>
      <c r="I4" s="16">
        <v>40</v>
      </c>
      <c r="J4" s="12"/>
      <c r="K4" s="12"/>
    </row>
    <row r="5" spans="1:11" x14ac:dyDescent="0.25">
      <c r="A5" s="13">
        <v>4</v>
      </c>
      <c r="B5" s="13" t="s">
        <v>32</v>
      </c>
      <c r="C5" s="13" t="s">
        <v>33</v>
      </c>
      <c r="D5" s="13" t="s">
        <v>33</v>
      </c>
      <c r="E5" s="13">
        <v>385904</v>
      </c>
      <c r="F5" s="13">
        <v>756</v>
      </c>
      <c r="G5" s="12"/>
      <c r="H5" s="15" t="s">
        <v>2</v>
      </c>
      <c r="I5" s="16">
        <v>0.4</v>
      </c>
      <c r="J5" s="12"/>
      <c r="K5" s="12"/>
    </row>
    <row r="6" spans="1:11" x14ac:dyDescent="0.25">
      <c r="A6" s="13">
        <v>5</v>
      </c>
      <c r="B6" s="13" t="s">
        <v>23</v>
      </c>
      <c r="C6" s="13" t="s">
        <v>132</v>
      </c>
      <c r="D6" s="13" t="s">
        <v>36</v>
      </c>
      <c r="E6" s="13">
        <v>304977</v>
      </c>
      <c r="F6" s="13">
        <v>363</v>
      </c>
      <c r="G6" s="12"/>
      <c r="H6" s="15" t="s">
        <v>3</v>
      </c>
      <c r="I6" s="17">
        <v>16923923</v>
      </c>
      <c r="J6" s="12"/>
      <c r="K6" s="12"/>
    </row>
    <row r="7" spans="1:11" x14ac:dyDescent="0.25">
      <c r="A7" s="13">
        <v>6</v>
      </c>
      <c r="B7" s="13" t="s">
        <v>23</v>
      </c>
      <c r="C7" s="13" t="s">
        <v>181</v>
      </c>
      <c r="D7" s="13" t="s">
        <v>38</v>
      </c>
      <c r="E7" s="13">
        <v>50435</v>
      </c>
      <c r="F7" s="13">
        <v>182</v>
      </c>
      <c r="G7" s="12"/>
      <c r="H7" s="15" t="s">
        <v>41</v>
      </c>
      <c r="I7" s="16">
        <v>67726</v>
      </c>
      <c r="J7" s="12"/>
      <c r="K7" s="12"/>
    </row>
    <row r="8" spans="1:11" x14ac:dyDescent="0.25">
      <c r="A8" s="13">
        <v>7</v>
      </c>
      <c r="B8" s="13" t="s">
        <v>23</v>
      </c>
      <c r="C8" s="13" t="s">
        <v>39</v>
      </c>
      <c r="D8" s="13" t="s">
        <v>40</v>
      </c>
      <c r="E8" s="13">
        <v>601767</v>
      </c>
      <c r="F8" s="13">
        <v>2169</v>
      </c>
      <c r="G8" s="12"/>
      <c r="H8" s="15" t="s">
        <v>5</v>
      </c>
      <c r="I8" s="16">
        <v>169239.23</v>
      </c>
      <c r="J8" s="12"/>
      <c r="K8" s="12"/>
    </row>
    <row r="9" spans="1:11" x14ac:dyDescent="0.25">
      <c r="A9" s="13">
        <v>8</v>
      </c>
      <c r="B9" s="13" t="s">
        <v>23</v>
      </c>
      <c r="C9" s="13" t="s">
        <v>199</v>
      </c>
      <c r="D9" s="13" t="s">
        <v>42</v>
      </c>
      <c r="E9" s="13">
        <v>181338</v>
      </c>
      <c r="F9" s="13">
        <v>413</v>
      </c>
      <c r="G9" s="12"/>
      <c r="H9" s="15"/>
      <c r="I9" s="14"/>
      <c r="J9" s="12"/>
      <c r="K9" s="12"/>
    </row>
    <row r="10" spans="1:11" x14ac:dyDescent="0.25">
      <c r="A10" s="13">
        <v>9</v>
      </c>
      <c r="B10" s="13" t="s">
        <v>23</v>
      </c>
      <c r="C10" s="13" t="s">
        <v>43</v>
      </c>
      <c r="D10" s="13" t="s">
        <v>44</v>
      </c>
      <c r="E10" s="13">
        <v>159419</v>
      </c>
      <c r="F10" s="13">
        <v>715</v>
      </c>
      <c r="G10" s="12"/>
      <c r="H10" s="12"/>
      <c r="I10" s="12"/>
      <c r="J10" s="12"/>
      <c r="K10" s="12"/>
    </row>
    <row r="11" spans="1:11" x14ac:dyDescent="0.25">
      <c r="A11" s="13">
        <v>10</v>
      </c>
      <c r="B11" s="13" t="s">
        <v>32</v>
      </c>
      <c r="C11" s="13" t="s">
        <v>45</v>
      </c>
      <c r="D11" s="13" t="s">
        <v>45</v>
      </c>
      <c r="E11" s="13">
        <v>18911</v>
      </c>
      <c r="F11" s="13">
        <v>65</v>
      </c>
      <c r="G11" s="12"/>
      <c r="H11" s="12"/>
      <c r="I11" s="12"/>
      <c r="J11" s="12"/>
      <c r="K11" s="12"/>
    </row>
    <row r="12" spans="1:11" x14ac:dyDescent="0.25">
      <c r="A12" s="13">
        <v>11</v>
      </c>
      <c r="B12" s="13" t="s">
        <v>32</v>
      </c>
      <c r="C12" s="13" t="s">
        <v>46</v>
      </c>
      <c r="D12" s="13" t="s">
        <v>46</v>
      </c>
      <c r="E12" s="13">
        <v>52458</v>
      </c>
      <c r="F12" s="13">
        <v>118</v>
      </c>
      <c r="G12" s="12"/>
      <c r="H12" s="12"/>
      <c r="I12" s="12"/>
      <c r="J12" s="12"/>
      <c r="K12" s="12"/>
    </row>
    <row r="13" spans="1:11" x14ac:dyDescent="0.25">
      <c r="A13" s="13">
        <v>12</v>
      </c>
      <c r="B13" s="13" t="s">
        <v>32</v>
      </c>
      <c r="C13" s="13" t="s">
        <v>47</v>
      </c>
      <c r="D13" s="13" t="s">
        <v>47</v>
      </c>
      <c r="E13" s="13">
        <v>96633</v>
      </c>
      <c r="F13" s="13">
        <v>341</v>
      </c>
      <c r="G13" s="12"/>
      <c r="H13" s="12"/>
      <c r="I13" s="12"/>
      <c r="J13" s="12"/>
      <c r="K13" s="12"/>
    </row>
    <row r="14" spans="1:11" x14ac:dyDescent="0.25">
      <c r="A14" s="13">
        <v>13</v>
      </c>
      <c r="B14" s="13" t="s">
        <v>23</v>
      </c>
      <c r="C14" s="13" t="s">
        <v>200</v>
      </c>
      <c r="D14" s="13" t="s">
        <v>49</v>
      </c>
      <c r="E14" s="13">
        <v>16921</v>
      </c>
      <c r="F14" s="13">
        <v>52</v>
      </c>
      <c r="G14" s="12"/>
      <c r="H14" s="12"/>
      <c r="I14" s="12"/>
      <c r="J14" s="12"/>
      <c r="K14" s="12"/>
    </row>
    <row r="15" spans="1:11" x14ac:dyDescent="0.25">
      <c r="A15" s="13">
        <v>14</v>
      </c>
      <c r="B15" s="13" t="s">
        <v>32</v>
      </c>
      <c r="C15" s="13" t="s">
        <v>50</v>
      </c>
      <c r="D15" s="13" t="s">
        <v>51</v>
      </c>
      <c r="E15" s="13">
        <v>13100</v>
      </c>
      <c r="F15" s="13">
        <v>41</v>
      </c>
      <c r="G15" s="12"/>
      <c r="H15" s="12"/>
      <c r="I15" s="12"/>
      <c r="J15" s="12"/>
      <c r="K15" s="12"/>
    </row>
    <row r="16" spans="1:11" x14ac:dyDescent="0.25">
      <c r="A16" s="13">
        <v>15</v>
      </c>
      <c r="B16" s="13" t="s">
        <v>32</v>
      </c>
      <c r="C16" s="13" t="s">
        <v>52</v>
      </c>
      <c r="D16" s="13" t="s">
        <v>52</v>
      </c>
      <c r="E16" s="13">
        <v>298442</v>
      </c>
      <c r="F16" s="13">
        <v>987</v>
      </c>
      <c r="G16" s="12"/>
      <c r="H16" s="12"/>
      <c r="I16" s="12"/>
      <c r="J16" s="12"/>
      <c r="K16" s="12"/>
    </row>
    <row r="17" spans="1:11" x14ac:dyDescent="0.25">
      <c r="A17" s="13">
        <v>16</v>
      </c>
      <c r="B17" s="13" t="s">
        <v>32</v>
      </c>
      <c r="C17" s="13" t="s">
        <v>54</v>
      </c>
      <c r="D17" s="13" t="s">
        <v>54</v>
      </c>
      <c r="E17" s="13">
        <v>311629</v>
      </c>
      <c r="F17" s="13">
        <v>1062</v>
      </c>
      <c r="G17" s="12"/>
      <c r="H17" s="12"/>
      <c r="I17" s="12"/>
      <c r="J17" s="12"/>
      <c r="K17" s="12"/>
    </row>
    <row r="18" spans="1:11" x14ac:dyDescent="0.25">
      <c r="A18" s="13">
        <v>17</v>
      </c>
      <c r="B18" s="13" t="s">
        <v>23</v>
      </c>
      <c r="C18" s="13" t="s">
        <v>55</v>
      </c>
      <c r="D18" s="13" t="s">
        <v>56</v>
      </c>
      <c r="E18" s="13">
        <v>125158</v>
      </c>
      <c r="F18" s="13">
        <v>573</v>
      </c>
      <c r="G18" s="12"/>
      <c r="H18" s="12"/>
      <c r="I18" s="12"/>
      <c r="J18" s="12"/>
      <c r="K18" s="12"/>
    </row>
    <row r="19" spans="1:11" x14ac:dyDescent="0.25">
      <c r="A19" s="13">
        <v>18</v>
      </c>
      <c r="B19" s="13" t="s">
        <v>32</v>
      </c>
      <c r="C19" s="13" t="s">
        <v>58</v>
      </c>
      <c r="D19" s="13" t="s">
        <v>58</v>
      </c>
      <c r="E19" s="13">
        <v>167100</v>
      </c>
      <c r="F19" s="13">
        <v>960</v>
      </c>
      <c r="G19" s="12"/>
      <c r="H19" s="12"/>
      <c r="I19" s="12"/>
      <c r="J19" s="12"/>
      <c r="K19" s="12"/>
    </row>
    <row r="20" spans="1:11" x14ac:dyDescent="0.25">
      <c r="A20" s="13">
        <v>19</v>
      </c>
      <c r="B20" s="13" t="s">
        <v>23</v>
      </c>
      <c r="C20" s="13" t="s">
        <v>182</v>
      </c>
      <c r="D20" s="13" t="s">
        <v>59</v>
      </c>
      <c r="E20" s="13">
        <v>153251</v>
      </c>
      <c r="F20" s="13">
        <v>440</v>
      </c>
      <c r="G20" s="12"/>
      <c r="H20" s="12"/>
      <c r="I20" s="12"/>
      <c r="J20" s="12"/>
      <c r="K20" s="12"/>
    </row>
    <row r="21" spans="1:11" x14ac:dyDescent="0.25">
      <c r="A21" s="13">
        <v>20</v>
      </c>
      <c r="B21" s="13" t="s">
        <v>23</v>
      </c>
      <c r="C21" s="13" t="s">
        <v>60</v>
      </c>
      <c r="D21" s="13" t="s">
        <v>61</v>
      </c>
      <c r="E21" s="13">
        <v>6346</v>
      </c>
      <c r="F21" s="13">
        <v>30</v>
      </c>
      <c r="G21" s="12"/>
      <c r="H21" s="12"/>
      <c r="I21" s="12"/>
      <c r="J21" s="12"/>
      <c r="K21" s="12"/>
    </row>
    <row r="22" spans="1:11" x14ac:dyDescent="0.25">
      <c r="A22" s="13">
        <v>21</v>
      </c>
      <c r="B22" s="13" t="s">
        <v>23</v>
      </c>
      <c r="C22" s="13" t="s">
        <v>183</v>
      </c>
      <c r="D22" s="13" t="s">
        <v>63</v>
      </c>
      <c r="E22" s="13">
        <v>95196</v>
      </c>
      <c r="F22" s="13">
        <v>496</v>
      </c>
      <c r="G22" s="12"/>
      <c r="H22" s="12"/>
      <c r="I22" s="12"/>
      <c r="J22" s="12"/>
      <c r="K22" s="12"/>
    </row>
    <row r="23" spans="1:11" x14ac:dyDescent="0.25">
      <c r="A23" s="13">
        <v>22</v>
      </c>
      <c r="B23" s="13" t="s">
        <v>23</v>
      </c>
      <c r="C23" s="13" t="s">
        <v>64</v>
      </c>
      <c r="D23" s="13" t="s">
        <v>65</v>
      </c>
      <c r="E23" s="13">
        <v>8157</v>
      </c>
      <c r="F23" s="13">
        <v>83</v>
      </c>
      <c r="G23" s="12"/>
      <c r="H23" s="12"/>
      <c r="I23" s="12"/>
      <c r="J23" s="12"/>
      <c r="K23" s="12"/>
    </row>
    <row r="24" spans="1:11" x14ac:dyDescent="0.25">
      <c r="A24" s="13">
        <v>23</v>
      </c>
      <c r="B24" s="13" t="s">
        <v>32</v>
      </c>
      <c r="C24" s="13" t="s">
        <v>67</v>
      </c>
      <c r="D24" s="13" t="s">
        <v>67</v>
      </c>
      <c r="E24" s="13">
        <v>7560</v>
      </c>
      <c r="F24" s="13">
        <v>24</v>
      </c>
      <c r="G24" s="12"/>
      <c r="H24" s="12"/>
      <c r="I24" s="12"/>
      <c r="J24" s="12"/>
      <c r="K24" s="12"/>
    </row>
    <row r="25" spans="1:11" x14ac:dyDescent="0.25">
      <c r="A25" s="13">
        <v>24</v>
      </c>
      <c r="B25" s="13" t="s">
        <v>23</v>
      </c>
      <c r="C25" s="13" t="s">
        <v>68</v>
      </c>
      <c r="D25" s="13" t="s">
        <v>69</v>
      </c>
      <c r="E25" s="13">
        <v>113867</v>
      </c>
      <c r="F25" s="13">
        <v>753</v>
      </c>
      <c r="G25" s="12"/>
      <c r="H25" s="12"/>
      <c r="I25" s="12"/>
      <c r="J25" s="12"/>
      <c r="K25" s="12"/>
    </row>
    <row r="26" spans="1:11" x14ac:dyDescent="0.25">
      <c r="A26" s="13">
        <v>25</v>
      </c>
      <c r="B26" s="13" t="s">
        <v>32</v>
      </c>
      <c r="C26" s="13" t="s">
        <v>70</v>
      </c>
      <c r="D26" s="13" t="s">
        <v>70</v>
      </c>
      <c r="E26" s="13">
        <v>65256</v>
      </c>
      <c r="F26" s="13">
        <v>211</v>
      </c>
      <c r="G26" s="12"/>
      <c r="H26" s="12"/>
      <c r="I26" s="12"/>
      <c r="J26" s="12"/>
      <c r="K26" s="12"/>
    </row>
    <row r="27" spans="1:11" x14ac:dyDescent="0.25">
      <c r="A27" s="13">
        <v>26</v>
      </c>
      <c r="B27" s="13" t="s">
        <v>23</v>
      </c>
      <c r="C27" s="13" t="s">
        <v>71</v>
      </c>
      <c r="D27" s="13" t="s">
        <v>72</v>
      </c>
      <c r="E27" s="13">
        <v>132815</v>
      </c>
      <c r="F27" s="13">
        <v>459</v>
      </c>
      <c r="G27" s="12"/>
      <c r="H27" s="12"/>
      <c r="I27" s="12"/>
      <c r="J27" s="12"/>
      <c r="K27" s="12"/>
    </row>
    <row r="28" spans="1:11" x14ac:dyDescent="0.25">
      <c r="A28" s="13">
        <v>27</v>
      </c>
      <c r="B28" s="13" t="s">
        <v>23</v>
      </c>
      <c r="C28" s="13" t="s">
        <v>73</v>
      </c>
      <c r="D28" s="13" t="s">
        <v>74</v>
      </c>
      <c r="E28" s="13">
        <v>32421</v>
      </c>
      <c r="F28" s="13">
        <v>210</v>
      </c>
      <c r="G28" s="12"/>
      <c r="H28" s="12"/>
      <c r="I28" s="12"/>
      <c r="J28" s="12"/>
      <c r="K28" s="12"/>
    </row>
    <row r="29" spans="1:11" x14ac:dyDescent="0.25">
      <c r="A29" s="13">
        <v>28</v>
      </c>
      <c r="B29" s="13" t="s">
        <v>23</v>
      </c>
      <c r="C29" s="13" t="s">
        <v>184</v>
      </c>
      <c r="D29" s="13" t="s">
        <v>76</v>
      </c>
      <c r="E29" s="13">
        <v>202217</v>
      </c>
      <c r="F29" s="13">
        <v>1117</v>
      </c>
      <c r="G29" s="12"/>
      <c r="H29" s="12"/>
      <c r="I29" s="12"/>
      <c r="J29" s="12"/>
      <c r="K29" s="12"/>
    </row>
    <row r="30" spans="1:11" x14ac:dyDescent="0.25">
      <c r="A30" s="13">
        <v>29</v>
      </c>
      <c r="B30" s="13" t="s">
        <v>23</v>
      </c>
      <c r="C30" s="13" t="s">
        <v>77</v>
      </c>
      <c r="D30" s="13" t="s">
        <v>78</v>
      </c>
      <c r="E30" s="13">
        <v>329218</v>
      </c>
      <c r="F30" s="13">
        <v>2104</v>
      </c>
      <c r="G30" s="12"/>
      <c r="H30" s="12"/>
      <c r="I30" s="12"/>
      <c r="J30" s="12"/>
      <c r="K30" s="12"/>
    </row>
    <row r="31" spans="1:11" x14ac:dyDescent="0.25">
      <c r="A31" s="13">
        <v>30</v>
      </c>
      <c r="B31" s="13" t="s">
        <v>23</v>
      </c>
      <c r="C31" s="13" t="s">
        <v>122</v>
      </c>
      <c r="D31" s="13" t="s">
        <v>79</v>
      </c>
      <c r="E31" s="13">
        <v>384058</v>
      </c>
      <c r="F31" s="13">
        <v>2160</v>
      </c>
      <c r="G31" s="12"/>
      <c r="H31" s="12"/>
      <c r="I31" s="12"/>
      <c r="J31" s="12"/>
      <c r="K31" s="12"/>
    </row>
    <row r="32" spans="1:11" x14ac:dyDescent="0.25">
      <c r="A32" s="13">
        <v>31</v>
      </c>
      <c r="B32" s="13" t="s">
        <v>32</v>
      </c>
      <c r="C32" s="13" t="s">
        <v>80</v>
      </c>
      <c r="D32" s="13" t="s">
        <v>80</v>
      </c>
      <c r="E32" s="13">
        <v>12975</v>
      </c>
      <c r="F32" s="13">
        <v>66</v>
      </c>
      <c r="G32" s="12"/>
      <c r="H32" s="12"/>
      <c r="I32" s="12"/>
      <c r="J32" s="12"/>
      <c r="K32" s="12"/>
    </row>
    <row r="33" spans="1:11" x14ac:dyDescent="0.25">
      <c r="A33" s="13">
        <v>32</v>
      </c>
      <c r="B33" s="13" t="s">
        <v>32</v>
      </c>
      <c r="C33" s="13" t="s">
        <v>82</v>
      </c>
      <c r="D33" s="13" t="s">
        <v>82</v>
      </c>
      <c r="E33" s="13">
        <v>70937</v>
      </c>
      <c r="F33" s="13">
        <v>260</v>
      </c>
      <c r="G33" s="12"/>
      <c r="H33" s="12"/>
      <c r="I33" s="12"/>
      <c r="J33" s="12"/>
      <c r="K33" s="12"/>
    </row>
    <row r="34" spans="1:11" x14ac:dyDescent="0.25">
      <c r="A34" s="13">
        <v>33</v>
      </c>
      <c r="B34" s="13" t="s">
        <v>23</v>
      </c>
      <c r="C34" s="13" t="s">
        <v>83</v>
      </c>
      <c r="D34" s="13" t="s">
        <v>84</v>
      </c>
      <c r="E34" s="13">
        <v>86534</v>
      </c>
      <c r="F34" s="13">
        <v>446</v>
      </c>
      <c r="G34" s="12"/>
      <c r="H34" s="12"/>
      <c r="I34" s="12"/>
      <c r="J34" s="12"/>
      <c r="K34" s="12"/>
    </row>
    <row r="35" spans="1:11" x14ac:dyDescent="0.25">
      <c r="A35" s="13">
        <v>34</v>
      </c>
      <c r="B35" s="13" t="s">
        <v>23</v>
      </c>
      <c r="C35" s="13" t="s">
        <v>185</v>
      </c>
      <c r="D35" s="13" t="s">
        <v>86</v>
      </c>
      <c r="E35" s="13">
        <v>146883</v>
      </c>
      <c r="F35" s="13">
        <v>569</v>
      </c>
      <c r="G35" s="12"/>
      <c r="H35" s="12"/>
      <c r="I35" s="12"/>
      <c r="J35" s="12"/>
      <c r="K35" s="12"/>
    </row>
    <row r="36" spans="1:11" x14ac:dyDescent="0.25">
      <c r="A36" s="13">
        <v>35</v>
      </c>
      <c r="B36" s="13" t="s">
        <v>23</v>
      </c>
      <c r="C36" s="13" t="s">
        <v>87</v>
      </c>
      <c r="D36" s="13" t="s">
        <v>88</v>
      </c>
      <c r="E36" s="13">
        <v>157114</v>
      </c>
      <c r="F36" s="13">
        <v>406</v>
      </c>
      <c r="G36" s="12"/>
      <c r="H36" s="12"/>
      <c r="I36" s="12"/>
      <c r="J36" s="12"/>
      <c r="K36" s="12"/>
    </row>
    <row r="37" spans="1:11" x14ac:dyDescent="0.25">
      <c r="A37" s="13">
        <v>36</v>
      </c>
      <c r="B37" s="13" t="s">
        <v>23</v>
      </c>
      <c r="C37" s="13" t="s">
        <v>89</v>
      </c>
      <c r="D37" s="13" t="s">
        <v>90</v>
      </c>
      <c r="E37" s="13">
        <v>182829</v>
      </c>
      <c r="F37" s="13">
        <v>953</v>
      </c>
      <c r="G37" s="12"/>
      <c r="H37" s="12"/>
      <c r="I37" s="12"/>
      <c r="J37" s="12"/>
      <c r="K37" s="12"/>
    </row>
    <row r="38" spans="1:11" x14ac:dyDescent="0.25">
      <c r="A38" s="13">
        <v>37</v>
      </c>
      <c r="B38" s="13" t="s">
        <v>23</v>
      </c>
      <c r="C38" s="13" t="s">
        <v>91</v>
      </c>
      <c r="D38" s="13" t="s">
        <v>92</v>
      </c>
      <c r="E38" s="13">
        <v>370756</v>
      </c>
      <c r="F38" s="13">
        <v>2285</v>
      </c>
      <c r="G38" s="12"/>
      <c r="H38" s="12"/>
      <c r="I38" s="12"/>
      <c r="J38" s="12"/>
      <c r="K38" s="12"/>
    </row>
    <row r="39" spans="1:11" x14ac:dyDescent="0.25">
      <c r="A39" s="13">
        <v>38</v>
      </c>
      <c r="B39" s="13" t="s">
        <v>23</v>
      </c>
      <c r="C39" s="13" t="s">
        <v>67</v>
      </c>
      <c r="D39" s="13" t="s">
        <v>94</v>
      </c>
      <c r="E39" s="13">
        <v>240364</v>
      </c>
      <c r="F39" s="13">
        <v>1140</v>
      </c>
      <c r="G39" s="12"/>
      <c r="H39" s="12"/>
      <c r="I39" s="12"/>
      <c r="J39" s="12"/>
      <c r="K39" s="12"/>
    </row>
    <row r="40" spans="1:11" x14ac:dyDescent="0.25">
      <c r="A40" s="13">
        <v>39</v>
      </c>
      <c r="B40" s="13" t="s">
        <v>23</v>
      </c>
      <c r="C40" s="13" t="s">
        <v>186</v>
      </c>
      <c r="D40" s="13" t="s">
        <v>95</v>
      </c>
      <c r="E40" s="13">
        <v>8790</v>
      </c>
      <c r="F40" s="13">
        <v>55</v>
      </c>
      <c r="G40" s="12"/>
      <c r="H40" s="12"/>
      <c r="I40" s="12"/>
      <c r="J40" s="12"/>
      <c r="K40" s="12"/>
    </row>
    <row r="41" spans="1:11" x14ac:dyDescent="0.25">
      <c r="A41" s="13">
        <v>40</v>
      </c>
      <c r="B41" s="13" t="s">
        <v>23</v>
      </c>
      <c r="C41" s="13" t="s">
        <v>187</v>
      </c>
      <c r="D41" s="13" t="s">
        <v>74</v>
      </c>
      <c r="E41" s="13">
        <v>223753</v>
      </c>
      <c r="F41" s="13">
        <v>739</v>
      </c>
      <c r="G41" s="12"/>
      <c r="H41" s="12"/>
      <c r="I41" s="12"/>
      <c r="J41" s="12"/>
      <c r="K41" s="12"/>
    </row>
    <row r="42" spans="1:11" x14ac:dyDescent="0.25">
      <c r="A42" s="13">
        <v>41</v>
      </c>
      <c r="B42" s="13" t="s">
        <v>32</v>
      </c>
      <c r="C42" s="13" t="s">
        <v>97</v>
      </c>
      <c r="D42" s="13" t="s">
        <v>97</v>
      </c>
      <c r="E42" s="13">
        <v>222476</v>
      </c>
      <c r="F42" s="13">
        <v>939</v>
      </c>
      <c r="G42" s="12"/>
      <c r="H42" s="12"/>
      <c r="I42" s="12"/>
      <c r="J42" s="12"/>
      <c r="K42" s="12"/>
    </row>
    <row r="43" spans="1:11" x14ac:dyDescent="0.25">
      <c r="A43" s="13">
        <v>42</v>
      </c>
      <c r="B43" s="13" t="s">
        <v>32</v>
      </c>
      <c r="C43" s="13" t="s">
        <v>98</v>
      </c>
      <c r="D43" s="13" t="s">
        <v>98</v>
      </c>
      <c r="E43" s="13">
        <v>23377</v>
      </c>
      <c r="F43" s="13">
        <v>48</v>
      </c>
      <c r="G43" s="12"/>
      <c r="H43" s="12"/>
      <c r="I43" s="12"/>
      <c r="J43" s="12"/>
      <c r="K43" s="12"/>
    </row>
    <row r="44" spans="1:11" x14ac:dyDescent="0.25">
      <c r="A44" s="13">
        <v>43</v>
      </c>
      <c r="B44" s="13" t="s">
        <v>23</v>
      </c>
      <c r="C44" s="13" t="s">
        <v>99</v>
      </c>
      <c r="D44" s="13" t="s">
        <v>100</v>
      </c>
      <c r="E44" s="13">
        <v>193253</v>
      </c>
      <c r="F44" s="13">
        <v>439</v>
      </c>
      <c r="G44" s="12"/>
      <c r="H44" s="12"/>
      <c r="I44" s="12"/>
      <c r="J44" s="12"/>
      <c r="K44" s="12"/>
    </row>
    <row r="45" spans="1:11" x14ac:dyDescent="0.25">
      <c r="A45" s="13">
        <v>44</v>
      </c>
      <c r="B45" s="13" t="s">
        <v>23</v>
      </c>
      <c r="C45" s="13" t="s">
        <v>101</v>
      </c>
      <c r="D45" s="13" t="s">
        <v>102</v>
      </c>
      <c r="E45" s="13">
        <v>252063</v>
      </c>
      <c r="F45" s="13">
        <v>1353</v>
      </c>
      <c r="G45" s="12"/>
      <c r="H45" s="12"/>
      <c r="I45" s="12"/>
      <c r="J45" s="12"/>
      <c r="K45" s="12"/>
    </row>
    <row r="46" spans="1:11" x14ac:dyDescent="0.25">
      <c r="A46" s="13">
        <v>45</v>
      </c>
      <c r="B46" s="13" t="s">
        <v>32</v>
      </c>
      <c r="C46" s="13" t="s">
        <v>103</v>
      </c>
      <c r="D46" s="13" t="s">
        <v>103</v>
      </c>
      <c r="E46" s="13">
        <v>39125</v>
      </c>
      <c r="F46" s="13">
        <v>156</v>
      </c>
      <c r="G46" s="12"/>
      <c r="H46" s="12"/>
      <c r="I46" s="12"/>
      <c r="J46" s="12"/>
      <c r="K46" s="12"/>
    </row>
    <row r="47" spans="1:11" x14ac:dyDescent="0.25">
      <c r="A47" s="13">
        <v>46</v>
      </c>
      <c r="B47" s="13" t="s">
        <v>32</v>
      </c>
      <c r="C47" s="13" t="s">
        <v>104</v>
      </c>
      <c r="D47" s="13" t="s">
        <v>104</v>
      </c>
      <c r="E47" s="13">
        <v>155545</v>
      </c>
      <c r="F47" s="13">
        <v>457</v>
      </c>
      <c r="G47" s="12"/>
      <c r="H47" s="12"/>
      <c r="I47" s="12"/>
      <c r="J47" s="12"/>
      <c r="K47" s="12"/>
    </row>
    <row r="48" spans="1:11" x14ac:dyDescent="0.25">
      <c r="A48" s="13">
        <v>47</v>
      </c>
      <c r="B48" s="13" t="s">
        <v>23</v>
      </c>
      <c r="C48" s="13" t="s">
        <v>188</v>
      </c>
      <c r="D48" s="13" t="s">
        <v>106</v>
      </c>
      <c r="E48" s="13">
        <v>89059</v>
      </c>
      <c r="F48" s="13">
        <v>642</v>
      </c>
      <c r="G48" s="12"/>
      <c r="H48" s="12"/>
      <c r="I48" s="12"/>
      <c r="J48" s="12"/>
      <c r="K48" s="12"/>
    </row>
    <row r="49" spans="1:11" x14ac:dyDescent="0.25">
      <c r="A49" s="13">
        <v>48</v>
      </c>
      <c r="B49" s="13" t="s">
        <v>23</v>
      </c>
      <c r="C49" s="13" t="s">
        <v>76</v>
      </c>
      <c r="D49" s="13" t="s">
        <v>108</v>
      </c>
      <c r="E49" s="13">
        <v>127462</v>
      </c>
      <c r="F49" s="13">
        <v>576</v>
      </c>
      <c r="G49" s="12"/>
      <c r="H49" s="12"/>
      <c r="I49" s="12"/>
      <c r="J49" s="12"/>
      <c r="K49" s="12"/>
    </row>
    <row r="50" spans="1:11" x14ac:dyDescent="0.25">
      <c r="A50" s="13">
        <v>49</v>
      </c>
      <c r="B50" s="13" t="s">
        <v>32</v>
      </c>
      <c r="C50" s="13" t="s">
        <v>66</v>
      </c>
      <c r="D50" s="13" t="s">
        <v>66</v>
      </c>
      <c r="E50" s="13">
        <v>17669</v>
      </c>
      <c r="F50" s="13">
        <v>50</v>
      </c>
      <c r="G50" s="12"/>
      <c r="H50" s="12"/>
      <c r="I50" s="12"/>
      <c r="J50" s="12"/>
      <c r="K50" s="12"/>
    </row>
    <row r="51" spans="1:11" x14ac:dyDescent="0.25">
      <c r="A51" s="13">
        <v>50</v>
      </c>
      <c r="B51" s="13" t="s">
        <v>32</v>
      </c>
      <c r="C51" s="13" t="s">
        <v>109</v>
      </c>
      <c r="D51" s="13" t="s">
        <v>109</v>
      </c>
      <c r="E51" s="13">
        <v>271451</v>
      </c>
      <c r="F51" s="13">
        <v>1799</v>
      </c>
      <c r="G51" s="12"/>
      <c r="H51" s="12"/>
      <c r="I51" s="12"/>
      <c r="J51" s="12"/>
      <c r="K51" s="12"/>
    </row>
    <row r="52" spans="1:11" x14ac:dyDescent="0.25">
      <c r="A52" s="13">
        <v>51</v>
      </c>
      <c r="B52" s="13" t="s">
        <v>23</v>
      </c>
      <c r="C52" s="13" t="s">
        <v>110</v>
      </c>
      <c r="D52" s="13" t="s">
        <v>111</v>
      </c>
      <c r="E52" s="13">
        <v>144191</v>
      </c>
      <c r="F52" s="13">
        <v>606</v>
      </c>
      <c r="G52" s="12"/>
      <c r="H52" s="12"/>
      <c r="I52" s="12"/>
      <c r="J52" s="12"/>
      <c r="K52" s="12"/>
    </row>
    <row r="53" spans="1:11" x14ac:dyDescent="0.25">
      <c r="A53" s="13">
        <v>52</v>
      </c>
      <c r="B53" s="13" t="s">
        <v>32</v>
      </c>
      <c r="C53" s="13" t="s">
        <v>113</v>
      </c>
      <c r="D53" s="13" t="s">
        <v>113</v>
      </c>
      <c r="E53" s="13">
        <v>198013</v>
      </c>
      <c r="F53" s="13">
        <v>1042</v>
      </c>
      <c r="G53" s="12"/>
      <c r="H53" s="12"/>
      <c r="I53" s="12"/>
      <c r="J53" s="12"/>
      <c r="K53" s="12"/>
    </row>
    <row r="54" spans="1:11" x14ac:dyDescent="0.25">
      <c r="A54" s="13">
        <v>53</v>
      </c>
      <c r="B54" s="13" t="s">
        <v>23</v>
      </c>
      <c r="C54" s="13" t="s">
        <v>189</v>
      </c>
      <c r="D54" s="13" t="s">
        <v>115</v>
      </c>
      <c r="E54" s="13">
        <v>235838</v>
      </c>
      <c r="F54" s="13">
        <v>864</v>
      </c>
      <c r="G54" s="12"/>
      <c r="H54" s="12"/>
      <c r="I54" s="12"/>
      <c r="J54" s="12"/>
      <c r="K54" s="12"/>
    </row>
    <row r="55" spans="1:11" x14ac:dyDescent="0.25">
      <c r="A55" s="13">
        <v>54</v>
      </c>
      <c r="B55" s="13" t="s">
        <v>23</v>
      </c>
      <c r="C55" s="13" t="s">
        <v>116</v>
      </c>
      <c r="D55" s="13" t="s">
        <v>117</v>
      </c>
      <c r="E55" s="13">
        <v>512071</v>
      </c>
      <c r="F55" s="13">
        <v>2390</v>
      </c>
      <c r="G55" s="12"/>
      <c r="H55" s="12"/>
      <c r="I55" s="12"/>
      <c r="J55" s="12"/>
      <c r="K55" s="12"/>
    </row>
    <row r="56" spans="1:11" x14ac:dyDescent="0.25">
      <c r="A56" s="13">
        <v>55</v>
      </c>
      <c r="B56" s="13" t="s">
        <v>32</v>
      </c>
      <c r="C56" s="13" t="s">
        <v>118</v>
      </c>
      <c r="D56" s="13" t="s">
        <v>118</v>
      </c>
      <c r="E56" s="13">
        <v>101900</v>
      </c>
      <c r="F56" s="13">
        <v>325</v>
      </c>
      <c r="G56" s="12"/>
      <c r="H56" s="12"/>
      <c r="I56" s="12"/>
      <c r="J56" s="12"/>
      <c r="K56" s="12"/>
    </row>
    <row r="57" spans="1:11" x14ac:dyDescent="0.25">
      <c r="A57" s="13">
        <v>56</v>
      </c>
      <c r="B57" s="13" t="s">
        <v>32</v>
      </c>
      <c r="C57" s="13" t="s">
        <v>119</v>
      </c>
      <c r="D57" s="13" t="s">
        <v>119</v>
      </c>
      <c r="E57" s="13">
        <v>89364</v>
      </c>
      <c r="F57" s="13">
        <v>101</v>
      </c>
      <c r="G57" s="12"/>
      <c r="H57" s="12"/>
      <c r="I57" s="12"/>
      <c r="J57" s="12"/>
      <c r="K57" s="12"/>
    </row>
    <row r="58" spans="1:11" x14ac:dyDescent="0.25">
      <c r="A58" s="13">
        <v>57</v>
      </c>
      <c r="B58" s="13" t="s">
        <v>32</v>
      </c>
      <c r="C58" s="13" t="s">
        <v>120</v>
      </c>
      <c r="D58" s="13" t="s">
        <v>120</v>
      </c>
      <c r="E58" s="13">
        <v>78468</v>
      </c>
      <c r="F58" s="13">
        <v>318</v>
      </c>
      <c r="G58" s="12"/>
      <c r="H58" s="12"/>
      <c r="I58" s="12"/>
      <c r="J58" s="12"/>
      <c r="K58" s="12"/>
    </row>
    <row r="59" spans="1:11" x14ac:dyDescent="0.25">
      <c r="A59" s="13">
        <v>58</v>
      </c>
      <c r="B59" s="13" t="s">
        <v>32</v>
      </c>
      <c r="C59" s="13" t="s">
        <v>121</v>
      </c>
      <c r="D59" s="13" t="s">
        <v>121</v>
      </c>
      <c r="E59" s="13">
        <v>81125</v>
      </c>
      <c r="F59" s="13">
        <v>159</v>
      </c>
      <c r="G59" s="12"/>
      <c r="H59" s="12"/>
      <c r="I59" s="12"/>
      <c r="J59" s="12"/>
      <c r="K59" s="12"/>
    </row>
    <row r="60" spans="1:11" x14ac:dyDescent="0.25">
      <c r="A60" s="13">
        <v>59</v>
      </c>
      <c r="B60" s="13" t="s">
        <v>23</v>
      </c>
      <c r="C60" s="13" t="s">
        <v>190</v>
      </c>
      <c r="D60" s="13" t="s">
        <v>114</v>
      </c>
      <c r="E60" s="13">
        <v>404247</v>
      </c>
      <c r="F60" s="13">
        <v>1615</v>
      </c>
      <c r="G60" s="12"/>
      <c r="H60" s="12"/>
      <c r="I60" s="12"/>
      <c r="J60" s="12"/>
      <c r="K60" s="12"/>
    </row>
    <row r="61" spans="1:11" x14ac:dyDescent="0.25">
      <c r="A61" s="13">
        <v>60</v>
      </c>
      <c r="B61" s="13" t="s">
        <v>23</v>
      </c>
      <c r="C61" s="13" t="s">
        <v>123</v>
      </c>
      <c r="D61" s="13" t="s">
        <v>124</v>
      </c>
      <c r="E61" s="13">
        <v>109229</v>
      </c>
      <c r="F61" s="13">
        <v>392</v>
      </c>
      <c r="G61" s="12"/>
      <c r="H61" s="12"/>
      <c r="I61" s="12"/>
      <c r="J61" s="12"/>
      <c r="K61" s="12"/>
    </row>
    <row r="62" spans="1:11" x14ac:dyDescent="0.25">
      <c r="A62" s="13">
        <v>61</v>
      </c>
      <c r="B62" s="13" t="s">
        <v>32</v>
      </c>
      <c r="C62" s="13" t="s">
        <v>95</v>
      </c>
      <c r="D62" s="13" t="s">
        <v>95</v>
      </c>
      <c r="E62" s="13">
        <v>51719</v>
      </c>
      <c r="F62" s="13">
        <v>178</v>
      </c>
      <c r="G62" s="12"/>
      <c r="H62" s="12"/>
      <c r="I62" s="12"/>
      <c r="J62" s="12"/>
      <c r="K62" s="12"/>
    </row>
    <row r="63" spans="1:11" x14ac:dyDescent="0.25">
      <c r="A63" s="13">
        <v>62</v>
      </c>
      <c r="B63" s="13" t="s">
        <v>23</v>
      </c>
      <c r="C63" s="13" t="s">
        <v>126</v>
      </c>
      <c r="D63" s="13" t="s">
        <v>127</v>
      </c>
      <c r="E63" s="13">
        <v>34018</v>
      </c>
      <c r="F63" s="13">
        <v>139</v>
      </c>
      <c r="G63" s="12"/>
      <c r="H63" s="12"/>
      <c r="I63" s="12"/>
      <c r="J63" s="12"/>
      <c r="K63" s="12"/>
    </row>
    <row r="64" spans="1:11" x14ac:dyDescent="0.25">
      <c r="A64" s="13">
        <v>63</v>
      </c>
      <c r="B64" s="13" t="s">
        <v>23</v>
      </c>
      <c r="C64" s="13" t="s">
        <v>191</v>
      </c>
      <c r="D64" s="13" t="s">
        <v>129</v>
      </c>
      <c r="E64" s="13">
        <v>537429</v>
      </c>
      <c r="F64" s="13">
        <v>3410</v>
      </c>
      <c r="G64" s="12"/>
      <c r="H64" s="12"/>
      <c r="I64" s="12"/>
      <c r="J64" s="12"/>
      <c r="K64" s="12"/>
    </row>
    <row r="65" spans="1:11" x14ac:dyDescent="0.25">
      <c r="A65" s="13">
        <v>64</v>
      </c>
      <c r="B65" s="13" t="s">
        <v>23</v>
      </c>
      <c r="C65" s="13" t="s">
        <v>127</v>
      </c>
      <c r="D65" s="13" t="s">
        <v>131</v>
      </c>
      <c r="E65" s="13">
        <v>285105</v>
      </c>
      <c r="F65" s="13">
        <v>1297</v>
      </c>
      <c r="G65" s="12"/>
      <c r="H65" s="12"/>
      <c r="I65" s="12"/>
      <c r="J65" s="12"/>
      <c r="K65" s="12"/>
    </row>
    <row r="66" spans="1:11" x14ac:dyDescent="0.25">
      <c r="A66" s="13">
        <v>65</v>
      </c>
      <c r="B66" s="13" t="s">
        <v>32</v>
      </c>
      <c r="C66" s="13" t="s">
        <v>133</v>
      </c>
      <c r="D66" s="13" t="s">
        <v>133</v>
      </c>
      <c r="E66" s="13">
        <v>156341</v>
      </c>
      <c r="F66" s="13">
        <v>584</v>
      </c>
      <c r="G66" s="12"/>
      <c r="H66" s="12"/>
      <c r="I66" s="12"/>
      <c r="J66" s="12"/>
      <c r="K66" s="12"/>
    </row>
    <row r="67" spans="1:11" x14ac:dyDescent="0.25">
      <c r="A67" s="13">
        <v>66</v>
      </c>
      <c r="B67" s="13" t="s">
        <v>32</v>
      </c>
      <c r="C67" s="13" t="s">
        <v>99</v>
      </c>
      <c r="D67" s="13" t="s">
        <v>99</v>
      </c>
      <c r="E67" s="13">
        <v>71872</v>
      </c>
      <c r="F67" s="13">
        <v>177</v>
      </c>
      <c r="G67" s="12"/>
      <c r="H67" s="12"/>
      <c r="I67" s="12"/>
      <c r="J67" s="12"/>
      <c r="K67" s="12"/>
    </row>
    <row r="68" spans="1:11" x14ac:dyDescent="0.25">
      <c r="A68" s="13">
        <v>67</v>
      </c>
      <c r="B68" s="13" t="s">
        <v>23</v>
      </c>
      <c r="C68" s="13" t="s">
        <v>134</v>
      </c>
      <c r="D68" s="13" t="s">
        <v>135</v>
      </c>
      <c r="E68" s="13">
        <v>30449</v>
      </c>
      <c r="F68" s="13">
        <v>98</v>
      </c>
      <c r="G68" s="12"/>
      <c r="H68" s="12"/>
      <c r="I68" s="12"/>
      <c r="J68" s="12"/>
      <c r="K68" s="12"/>
    </row>
    <row r="69" spans="1:11" x14ac:dyDescent="0.25">
      <c r="A69" s="13">
        <v>68</v>
      </c>
      <c r="B69" s="13" t="s">
        <v>23</v>
      </c>
      <c r="C69" s="13" t="s">
        <v>171</v>
      </c>
      <c r="D69" s="13" t="s">
        <v>137</v>
      </c>
      <c r="E69" s="13">
        <v>672379</v>
      </c>
      <c r="F69" s="13">
        <v>2291</v>
      </c>
      <c r="G69" s="12"/>
      <c r="H69" s="12"/>
      <c r="I69" s="12"/>
      <c r="J69" s="12"/>
      <c r="K69" s="12"/>
    </row>
    <row r="70" spans="1:11" x14ac:dyDescent="0.25">
      <c r="A70" s="13">
        <v>69</v>
      </c>
      <c r="B70" s="13" t="s">
        <v>23</v>
      </c>
      <c r="C70" s="13" t="s">
        <v>138</v>
      </c>
      <c r="D70" s="13" t="s">
        <v>139</v>
      </c>
      <c r="E70" s="13">
        <v>208660</v>
      </c>
      <c r="F70" s="13">
        <v>728</v>
      </c>
      <c r="G70" s="12"/>
      <c r="H70" s="12"/>
      <c r="I70" s="12"/>
      <c r="J70" s="12"/>
      <c r="K70" s="12"/>
    </row>
    <row r="71" spans="1:11" x14ac:dyDescent="0.25">
      <c r="A71" s="13">
        <v>70</v>
      </c>
      <c r="B71" s="13" t="s">
        <v>23</v>
      </c>
      <c r="C71" s="13" t="s">
        <v>140</v>
      </c>
      <c r="D71" s="13" t="s">
        <v>141</v>
      </c>
      <c r="E71" s="13">
        <v>144299</v>
      </c>
      <c r="F71" s="13">
        <v>908</v>
      </c>
      <c r="G71" s="12"/>
      <c r="H71" s="12"/>
      <c r="I71" s="12"/>
      <c r="J71" s="12"/>
      <c r="K71" s="12"/>
    </row>
    <row r="72" spans="1:11" x14ac:dyDescent="0.25">
      <c r="A72" s="13">
        <v>71</v>
      </c>
      <c r="B72" s="13" t="s">
        <v>32</v>
      </c>
      <c r="C72" s="13" t="s">
        <v>142</v>
      </c>
      <c r="D72" s="13" t="s">
        <v>142</v>
      </c>
      <c r="E72" s="13">
        <v>108057</v>
      </c>
      <c r="F72" s="13">
        <v>519</v>
      </c>
      <c r="G72" s="12"/>
      <c r="H72" s="12"/>
      <c r="I72" s="12"/>
      <c r="J72" s="12"/>
      <c r="K72" s="12"/>
    </row>
    <row r="73" spans="1:11" x14ac:dyDescent="0.25">
      <c r="A73" s="13">
        <v>72</v>
      </c>
      <c r="B73" s="13" t="s">
        <v>23</v>
      </c>
      <c r="C73" s="13" t="s">
        <v>143</v>
      </c>
      <c r="D73" s="13" t="s">
        <v>144</v>
      </c>
      <c r="E73" s="13">
        <v>132839</v>
      </c>
      <c r="F73" s="13">
        <v>629</v>
      </c>
      <c r="G73" s="12"/>
      <c r="H73" s="12"/>
      <c r="I73" s="12"/>
      <c r="J73" s="12"/>
      <c r="K73" s="12"/>
    </row>
    <row r="74" spans="1:11" x14ac:dyDescent="0.25">
      <c r="A74" s="13">
        <v>73</v>
      </c>
      <c r="B74" s="13" t="s">
        <v>23</v>
      </c>
      <c r="C74" s="13" t="s">
        <v>120</v>
      </c>
      <c r="D74" s="13" t="s">
        <v>145</v>
      </c>
      <c r="E74" s="13">
        <v>269899</v>
      </c>
      <c r="F74" s="13">
        <v>1299</v>
      </c>
      <c r="G74" s="12"/>
      <c r="H74" s="12"/>
      <c r="I74" s="12"/>
      <c r="J74" s="12"/>
      <c r="K74" s="12"/>
    </row>
    <row r="75" spans="1:11" x14ac:dyDescent="0.25">
      <c r="A75" s="13">
        <v>74</v>
      </c>
      <c r="B75" s="13" t="s">
        <v>32</v>
      </c>
      <c r="C75" s="13" t="s">
        <v>146</v>
      </c>
      <c r="D75" s="13" t="s">
        <v>146</v>
      </c>
      <c r="E75" s="13">
        <v>32227</v>
      </c>
      <c r="F75" s="13">
        <v>85</v>
      </c>
      <c r="G75" s="12"/>
      <c r="H75" s="12"/>
      <c r="I75" s="12"/>
      <c r="J75" s="12"/>
      <c r="K75" s="12"/>
    </row>
    <row r="76" spans="1:11" x14ac:dyDescent="0.25">
      <c r="A76" s="13">
        <v>75</v>
      </c>
      <c r="B76" s="13" t="s">
        <v>32</v>
      </c>
      <c r="C76" s="13" t="s">
        <v>127</v>
      </c>
      <c r="D76" s="13" t="s">
        <v>127</v>
      </c>
      <c r="E76" s="13">
        <v>198096</v>
      </c>
      <c r="F76" s="13">
        <v>468</v>
      </c>
      <c r="G76" s="12"/>
      <c r="H76" s="12"/>
      <c r="I76" s="12"/>
      <c r="J76" s="12"/>
      <c r="K76" s="12"/>
    </row>
    <row r="77" spans="1:11" x14ac:dyDescent="0.25">
      <c r="A77" s="13">
        <v>76</v>
      </c>
      <c r="B77" s="13" t="s">
        <v>23</v>
      </c>
      <c r="C77" s="13" t="s">
        <v>147</v>
      </c>
      <c r="D77" s="13" t="s">
        <v>148</v>
      </c>
      <c r="E77" s="13">
        <v>35919</v>
      </c>
      <c r="F77" s="13">
        <v>71</v>
      </c>
      <c r="G77" s="12"/>
      <c r="H77" s="12"/>
      <c r="I77" s="12"/>
      <c r="J77" s="12"/>
      <c r="K77" s="12"/>
    </row>
    <row r="78" spans="1:11" x14ac:dyDescent="0.25">
      <c r="A78" s="13">
        <v>77</v>
      </c>
      <c r="B78" s="13" t="s">
        <v>23</v>
      </c>
      <c r="C78" s="13" t="s">
        <v>192</v>
      </c>
      <c r="D78" s="13" t="s">
        <v>150</v>
      </c>
      <c r="E78" s="13">
        <v>81871</v>
      </c>
      <c r="F78" s="13">
        <v>258</v>
      </c>
      <c r="G78" s="12"/>
      <c r="H78" s="12"/>
      <c r="I78" s="12"/>
      <c r="J78" s="12"/>
      <c r="K78" s="12"/>
    </row>
    <row r="79" spans="1:11" x14ac:dyDescent="0.25">
      <c r="A79" s="13">
        <v>78</v>
      </c>
      <c r="B79" s="13" t="s">
        <v>32</v>
      </c>
      <c r="C79" s="13" t="s">
        <v>151</v>
      </c>
      <c r="D79" s="13" t="s">
        <v>151</v>
      </c>
      <c r="E79" s="13">
        <v>100732</v>
      </c>
      <c r="F79" s="13">
        <v>541</v>
      </c>
      <c r="G79" s="12"/>
      <c r="H79" s="12"/>
      <c r="I79" s="12"/>
      <c r="J79" s="12"/>
      <c r="K79" s="12"/>
    </row>
    <row r="80" spans="1:11" x14ac:dyDescent="0.25">
      <c r="A80" s="13">
        <v>79</v>
      </c>
      <c r="B80" s="13" t="s">
        <v>23</v>
      </c>
      <c r="C80" s="13" t="s">
        <v>193</v>
      </c>
      <c r="D80" s="13" t="s">
        <v>153</v>
      </c>
      <c r="E80" s="13">
        <v>543817</v>
      </c>
      <c r="F80" s="13">
        <v>2504</v>
      </c>
      <c r="G80" s="12"/>
      <c r="H80" s="12"/>
      <c r="I80" s="12"/>
      <c r="J80" s="12"/>
      <c r="K80" s="12"/>
    </row>
    <row r="81" spans="1:11" x14ac:dyDescent="0.25">
      <c r="A81" s="13">
        <v>80</v>
      </c>
      <c r="B81" s="13" t="s">
        <v>32</v>
      </c>
      <c r="C81" s="13" t="s">
        <v>154</v>
      </c>
      <c r="D81" s="13" t="s">
        <v>154</v>
      </c>
      <c r="E81" s="13">
        <v>55490</v>
      </c>
      <c r="F81" s="13">
        <v>293</v>
      </c>
      <c r="G81" s="12"/>
      <c r="H81" s="12"/>
      <c r="I81" s="12"/>
      <c r="J81" s="12"/>
      <c r="K81" s="12"/>
    </row>
    <row r="82" spans="1:11" x14ac:dyDescent="0.25">
      <c r="A82" s="13">
        <v>81</v>
      </c>
      <c r="B82" s="13" t="s">
        <v>23</v>
      </c>
      <c r="C82" s="13" t="s">
        <v>194</v>
      </c>
      <c r="D82" s="13" t="s">
        <v>156</v>
      </c>
      <c r="E82" s="13">
        <v>774657</v>
      </c>
      <c r="F82" s="13">
        <v>2758</v>
      </c>
      <c r="G82" s="12"/>
      <c r="H82" s="12"/>
      <c r="I82" s="12"/>
      <c r="J82" s="12"/>
      <c r="K82" s="12"/>
    </row>
    <row r="83" spans="1:11" x14ac:dyDescent="0.25">
      <c r="A83" s="13">
        <v>82</v>
      </c>
      <c r="B83" s="13" t="s">
        <v>32</v>
      </c>
      <c r="C83" s="13" t="s">
        <v>157</v>
      </c>
      <c r="D83" s="13" t="s">
        <v>157</v>
      </c>
      <c r="E83" s="13">
        <v>171455</v>
      </c>
      <c r="F83" s="13">
        <v>371</v>
      </c>
      <c r="G83" s="12"/>
      <c r="H83" s="12"/>
      <c r="I83" s="12"/>
      <c r="J83" s="12"/>
      <c r="K83" s="12"/>
    </row>
    <row r="84" spans="1:11" x14ac:dyDescent="0.25">
      <c r="A84" s="13">
        <v>83</v>
      </c>
      <c r="B84" s="13" t="s">
        <v>23</v>
      </c>
      <c r="C84" s="13" t="s">
        <v>158</v>
      </c>
      <c r="D84" s="13" t="s">
        <v>159</v>
      </c>
      <c r="E84" s="13">
        <v>51955</v>
      </c>
      <c r="F84" s="13">
        <v>166</v>
      </c>
      <c r="G84" s="12"/>
      <c r="H84" s="12"/>
      <c r="I84" s="12"/>
      <c r="J84" s="12"/>
      <c r="K84" s="12"/>
    </row>
    <row r="85" spans="1:11" x14ac:dyDescent="0.25">
      <c r="A85" s="13">
        <v>84</v>
      </c>
      <c r="B85" s="13" t="s">
        <v>23</v>
      </c>
      <c r="C85" s="13" t="s">
        <v>160</v>
      </c>
      <c r="D85" s="13" t="s">
        <v>161</v>
      </c>
      <c r="E85" s="13">
        <v>306286</v>
      </c>
      <c r="F85" s="13">
        <v>928</v>
      </c>
      <c r="G85" s="12"/>
      <c r="H85" s="12"/>
      <c r="I85" s="12"/>
      <c r="J85" s="12"/>
      <c r="K85" s="12"/>
    </row>
    <row r="86" spans="1:11" x14ac:dyDescent="0.25">
      <c r="A86" s="13">
        <v>85</v>
      </c>
      <c r="B86" s="13" t="s">
        <v>32</v>
      </c>
      <c r="C86" s="13" t="s">
        <v>162</v>
      </c>
      <c r="D86" s="13" t="s">
        <v>162</v>
      </c>
      <c r="E86" s="13">
        <v>118242</v>
      </c>
      <c r="F86" s="13">
        <v>277</v>
      </c>
      <c r="G86" s="12"/>
      <c r="H86" s="12"/>
      <c r="I86" s="12"/>
      <c r="J86" s="12"/>
      <c r="K86" s="12"/>
    </row>
    <row r="87" spans="1:11" x14ac:dyDescent="0.25">
      <c r="A87" s="13">
        <v>86</v>
      </c>
      <c r="B87" s="13" t="s">
        <v>32</v>
      </c>
      <c r="C87" s="13" t="s">
        <v>163</v>
      </c>
      <c r="D87" s="13" t="s">
        <v>163</v>
      </c>
      <c r="E87" s="13">
        <v>143533</v>
      </c>
      <c r="F87" s="13">
        <v>500</v>
      </c>
      <c r="G87" s="12"/>
      <c r="H87" s="12"/>
      <c r="I87" s="12"/>
      <c r="J87" s="12"/>
      <c r="K87" s="12"/>
    </row>
    <row r="88" spans="1:11" x14ac:dyDescent="0.25">
      <c r="A88" s="13">
        <v>87</v>
      </c>
      <c r="B88" s="13" t="s">
        <v>32</v>
      </c>
      <c r="C88" s="13" t="s">
        <v>164</v>
      </c>
      <c r="D88" s="13" t="s">
        <v>164</v>
      </c>
      <c r="E88" s="13">
        <v>58790</v>
      </c>
      <c r="F88" s="13">
        <v>161</v>
      </c>
      <c r="G88" s="12"/>
      <c r="H88" s="12"/>
      <c r="I88" s="12"/>
      <c r="J88" s="12"/>
      <c r="K88" s="12"/>
    </row>
    <row r="89" spans="1:11" x14ac:dyDescent="0.25">
      <c r="A89" s="13">
        <v>88</v>
      </c>
      <c r="B89" s="13" t="s">
        <v>32</v>
      </c>
      <c r="C89" s="13" t="s">
        <v>165</v>
      </c>
      <c r="D89" s="13" t="s">
        <v>165</v>
      </c>
      <c r="E89" s="13">
        <v>18496</v>
      </c>
      <c r="F89" s="13">
        <v>49</v>
      </c>
      <c r="G89" s="12"/>
      <c r="H89" s="12"/>
      <c r="I89" s="12"/>
      <c r="J89" s="12"/>
      <c r="K89" s="12"/>
    </row>
    <row r="90" spans="1:11" x14ac:dyDescent="0.25">
      <c r="A90" s="13">
        <v>89</v>
      </c>
      <c r="B90" s="13" t="s">
        <v>32</v>
      </c>
      <c r="C90" s="13" t="s">
        <v>166</v>
      </c>
      <c r="D90" s="13" t="s">
        <v>166</v>
      </c>
      <c r="E90" s="13">
        <v>223202</v>
      </c>
      <c r="F90" s="13">
        <v>450</v>
      </c>
      <c r="G90" s="12"/>
      <c r="H90" s="12"/>
      <c r="I90" s="12"/>
      <c r="J90" s="12"/>
      <c r="K90" s="12"/>
    </row>
    <row r="91" spans="1:11" x14ac:dyDescent="0.25">
      <c r="A91" s="13">
        <v>90</v>
      </c>
      <c r="B91" s="13" t="s">
        <v>23</v>
      </c>
      <c r="C91" s="13" t="s">
        <v>167</v>
      </c>
      <c r="D91" s="13" t="s">
        <v>168</v>
      </c>
      <c r="E91" s="13">
        <v>245771</v>
      </c>
      <c r="F91" s="13">
        <v>890</v>
      </c>
      <c r="G91" s="12"/>
      <c r="H91" s="12"/>
      <c r="I91" s="12"/>
      <c r="J91" s="12"/>
      <c r="K91" s="12"/>
    </row>
    <row r="92" spans="1:11" x14ac:dyDescent="0.25">
      <c r="A92" s="13">
        <v>91</v>
      </c>
      <c r="B92" s="13" t="s">
        <v>23</v>
      </c>
      <c r="C92" s="13" t="s">
        <v>169</v>
      </c>
      <c r="D92" s="13" t="s">
        <v>170</v>
      </c>
      <c r="E92" s="13">
        <v>198491</v>
      </c>
      <c r="F92" s="13">
        <v>757</v>
      </c>
      <c r="G92" s="12"/>
      <c r="H92" s="12"/>
      <c r="I92" s="12"/>
      <c r="J92" s="12"/>
      <c r="K92" s="12"/>
    </row>
    <row r="93" spans="1:11" x14ac:dyDescent="0.25">
      <c r="A93" s="13">
        <v>92</v>
      </c>
      <c r="B93" s="13" t="s">
        <v>23</v>
      </c>
      <c r="C93" s="13" t="s">
        <v>195</v>
      </c>
      <c r="D93" s="13" t="s">
        <v>171</v>
      </c>
      <c r="E93" s="13">
        <v>24577</v>
      </c>
      <c r="F93" s="13">
        <v>136</v>
      </c>
      <c r="G93" s="12"/>
      <c r="H93" s="12"/>
      <c r="I93" s="12"/>
      <c r="J93" s="12"/>
      <c r="K93" s="12"/>
    </row>
    <row r="94" spans="1:11" x14ac:dyDescent="0.25">
      <c r="A94" s="13">
        <v>93</v>
      </c>
      <c r="B94" s="13" t="s">
        <v>23</v>
      </c>
      <c r="C94" s="13" t="s">
        <v>172</v>
      </c>
      <c r="D94" s="13" t="s">
        <v>173</v>
      </c>
      <c r="E94" s="13">
        <v>35815</v>
      </c>
      <c r="F94" s="13">
        <v>111</v>
      </c>
      <c r="G94" s="12"/>
      <c r="H94" s="12"/>
      <c r="I94" s="12"/>
      <c r="J94" s="12"/>
      <c r="K94" s="12"/>
    </row>
    <row r="95" spans="1:11" x14ac:dyDescent="0.25">
      <c r="A95" s="13">
        <v>94</v>
      </c>
      <c r="B95" s="13" t="s">
        <v>23</v>
      </c>
      <c r="C95" s="13" t="s">
        <v>174</v>
      </c>
      <c r="D95" s="13" t="s">
        <v>175</v>
      </c>
      <c r="E95" s="13">
        <v>20590</v>
      </c>
      <c r="F95" s="13">
        <v>71</v>
      </c>
      <c r="G95" s="12"/>
      <c r="H95" s="12"/>
      <c r="I95" s="12"/>
      <c r="J95" s="12"/>
      <c r="K95" s="12"/>
    </row>
    <row r="96" spans="1:11" x14ac:dyDescent="0.25">
      <c r="A96" s="13">
        <v>95</v>
      </c>
      <c r="B96" s="13" t="s">
        <v>23</v>
      </c>
      <c r="C96" s="13" t="s">
        <v>196</v>
      </c>
      <c r="D96" s="13" t="s">
        <v>176</v>
      </c>
      <c r="E96" s="13">
        <v>91960</v>
      </c>
      <c r="F96" s="13">
        <v>356</v>
      </c>
      <c r="G96" s="12"/>
      <c r="H96" s="12"/>
      <c r="I96" s="12"/>
      <c r="J96" s="12"/>
      <c r="K96" s="12"/>
    </row>
    <row r="97" spans="1:11" x14ac:dyDescent="0.25">
      <c r="A97" s="13">
        <v>96</v>
      </c>
      <c r="B97" s="13" t="s">
        <v>23</v>
      </c>
      <c r="C97" s="13" t="s">
        <v>197</v>
      </c>
      <c r="D97" s="13" t="s">
        <v>177</v>
      </c>
      <c r="E97" s="13">
        <v>277648</v>
      </c>
      <c r="F97" s="13">
        <v>889</v>
      </c>
      <c r="G97" s="12"/>
      <c r="H97" s="12"/>
      <c r="I97" s="12"/>
      <c r="J97" s="12"/>
      <c r="K97" s="12"/>
    </row>
    <row r="98" spans="1:11" x14ac:dyDescent="0.25">
      <c r="A98" s="13">
        <v>97</v>
      </c>
      <c r="B98" s="13" t="s">
        <v>32</v>
      </c>
      <c r="C98" s="13" t="s">
        <v>179</v>
      </c>
      <c r="D98" s="13" t="s">
        <v>179</v>
      </c>
      <c r="E98" s="13">
        <v>343925</v>
      </c>
      <c r="F98" s="13">
        <v>943</v>
      </c>
      <c r="G98" s="12"/>
      <c r="H98" s="12"/>
      <c r="I98" s="12"/>
      <c r="J98" s="12"/>
      <c r="K98" s="12"/>
    </row>
    <row r="99" spans="1:11" x14ac:dyDescent="0.25">
      <c r="A99" s="13">
        <v>98</v>
      </c>
      <c r="B99" s="13" t="s">
        <v>23</v>
      </c>
      <c r="C99" s="13" t="s">
        <v>198</v>
      </c>
      <c r="D99" s="13" t="s">
        <v>180</v>
      </c>
      <c r="E99" s="13">
        <v>205668</v>
      </c>
      <c r="F99" s="13">
        <v>687</v>
      </c>
      <c r="G99" s="12"/>
      <c r="H99" s="12"/>
      <c r="I99" s="12"/>
      <c r="J99" s="12"/>
      <c r="K99" s="12"/>
    </row>
    <row r="100" spans="1:11" x14ac:dyDescent="0.25">
      <c r="A100" s="13">
        <v>99</v>
      </c>
      <c r="B100" s="13" t="s">
        <v>32</v>
      </c>
      <c r="C100" s="13" t="s">
        <v>159</v>
      </c>
      <c r="D100" s="13" t="s">
        <v>159</v>
      </c>
      <c r="E100" s="13">
        <v>63670</v>
      </c>
      <c r="F100" s="13">
        <v>252</v>
      </c>
      <c r="G100" s="12"/>
      <c r="H100" s="12"/>
      <c r="I100" s="12"/>
      <c r="J100" s="12"/>
      <c r="K100" s="12"/>
    </row>
    <row r="101" spans="1:11" x14ac:dyDescent="0.25">
      <c r="A101" s="13">
        <v>100</v>
      </c>
      <c r="B101" s="13" t="s">
        <v>23</v>
      </c>
      <c r="C101" s="13" t="s">
        <v>162</v>
      </c>
      <c r="D101" s="13" t="s">
        <v>150</v>
      </c>
      <c r="E101" s="13">
        <v>40445</v>
      </c>
      <c r="F101" s="13">
        <v>157</v>
      </c>
      <c r="G101" s="12"/>
      <c r="H101" s="12"/>
      <c r="I101" s="12"/>
      <c r="J101" s="12"/>
      <c r="K10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#19</vt:lpstr>
      <vt:lpstr>#20</vt:lpstr>
      <vt:lpstr>#21</vt:lpstr>
      <vt:lpstr>#23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Namra Shah</cp:lastModifiedBy>
  <cp:revision>0</cp:revision>
  <dcterms:created xsi:type="dcterms:W3CDTF">2026-05-17T16:32:46Z</dcterms:created>
  <dcterms:modified xsi:type="dcterms:W3CDTF">2026-06-21T14:54:18Z</dcterms:modified>
  <dc:language>en-US</dc:language>
</cp:coreProperties>
</file>